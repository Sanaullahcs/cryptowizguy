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a3388fe5b1e99d/CWG Upwork/"/>
    </mc:Choice>
  </mc:AlternateContent>
  <xr:revisionPtr revIDLastSave="0" documentId="8_{2CD72153-8655-4B5C-B53D-EB5954550C7F}" xr6:coauthVersionLast="47" xr6:coauthVersionMax="47" xr10:uidLastSave="{00000000-0000-0000-0000-000000000000}"/>
  <bookViews>
    <workbookView xWindow="-108" yWindow="-108" windowWidth="23256" windowHeight="12456" activeTab="1" xr2:uid="{F6C827E5-6CEF-440A-AFD3-80D1EEE0751A}"/>
  </bookViews>
  <sheets>
    <sheet name="20230622update" sheetId="1" r:id="rId1"/>
    <sheet name="Labels and formulas" sheetId="2" r:id="rId2"/>
  </sheets>
  <definedNames>
    <definedName name="_xlnm._FilterDatabase" localSheetId="0" hidden="1">'20230622update'!$A$33:$S$63</definedName>
    <definedName name="_xlnm.Print_Area" localSheetId="0">'20230622update'!$B$13:$R$31</definedName>
    <definedName name="_xlnm.Print_Titles" localSheetId="0">'20230622update'!$B:$C,'20230622update'!$2:$11</definedName>
    <definedName name="_xlnm.Print_Titles" localSheetId="1">'Labels and formulas'!$A:$A,'Labels and formulas'!$1:$1</definedName>
    <definedName name="solver_adj" localSheetId="0" hidden="1">'20230622update'!$B$18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250</definedName>
    <definedName name="solver_lhs1" localSheetId="0" hidden="1">'20230622update'!$K$18</definedName>
    <definedName name="solver_lhs2" localSheetId="0" hidden="1">'20230622update'!$M$22</definedName>
    <definedName name="solver_lhs3" localSheetId="0" hidden="1">'20230622update'!$H$22</definedName>
    <definedName name="solver_lhs4" localSheetId="0" hidden="1">'20230622update'!$H$22</definedName>
    <definedName name="solver_lhs5" localSheetId="0" hidden="1">'20230622update'!$H$22</definedName>
    <definedName name="solver_mip" localSheetId="0" hidden="1">1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'20230622update'!$I$18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3</definedName>
    <definedName name="solver_rel3" localSheetId="0" hidden="1">2</definedName>
    <definedName name="solver_rel4" localSheetId="0" hidden="1">2</definedName>
    <definedName name="solver_rel5" localSheetId="0" hidden="1">3</definedName>
    <definedName name="solver_rhs1" localSheetId="0" hidden="1">12.3161625</definedName>
    <definedName name="solver_rhs2" localSheetId="0" hidden="1">0.25</definedName>
    <definedName name="solver_rhs3" localSheetId="0" hidden="1">0.00075999</definedName>
    <definedName name="solver_rhs4" localSheetId="0" hidden="1">0.00075999</definedName>
    <definedName name="solver_rhs5" localSheetId="0" hidden="1">0.00055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26850.83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3" i="1" l="1"/>
  <c r="Q63" i="1"/>
  <c r="P63" i="1"/>
  <c r="O63" i="1"/>
  <c r="N63" i="1"/>
  <c r="M63" i="1"/>
  <c r="L63" i="1"/>
  <c r="R61" i="1"/>
  <c r="Q61" i="1"/>
  <c r="P61" i="1"/>
  <c r="O61" i="1"/>
  <c r="N61" i="1"/>
  <c r="M61" i="1"/>
  <c r="L61" i="1"/>
  <c r="R60" i="1"/>
  <c r="Q60" i="1"/>
  <c r="P60" i="1"/>
  <c r="O60" i="1"/>
  <c r="N60" i="1"/>
  <c r="M60" i="1"/>
  <c r="L60" i="1"/>
  <c r="R59" i="1"/>
  <c r="Q59" i="1"/>
  <c r="P59" i="1"/>
  <c r="O59" i="1"/>
  <c r="N59" i="1"/>
  <c r="M59" i="1"/>
  <c r="L59" i="1"/>
  <c r="R57" i="1"/>
  <c r="Q57" i="1"/>
  <c r="P57" i="1"/>
  <c r="O57" i="1"/>
  <c r="N57" i="1"/>
  <c r="M57" i="1"/>
  <c r="L57" i="1"/>
  <c r="R56" i="1"/>
  <c r="Q56" i="1"/>
  <c r="P56" i="1"/>
  <c r="O56" i="1"/>
  <c r="N56" i="1"/>
  <c r="M56" i="1"/>
  <c r="L56" i="1"/>
  <c r="R55" i="1"/>
  <c r="Q55" i="1"/>
  <c r="P55" i="1"/>
  <c r="O55" i="1"/>
  <c r="N55" i="1"/>
  <c r="M55" i="1"/>
  <c r="L55" i="1"/>
  <c r="R53" i="1"/>
  <c r="Q53" i="1"/>
  <c r="P53" i="1"/>
  <c r="O53" i="1"/>
  <c r="N53" i="1"/>
  <c r="M53" i="1"/>
  <c r="L53" i="1"/>
  <c r="R52" i="1"/>
  <c r="Q52" i="1"/>
  <c r="P52" i="1"/>
  <c r="O52" i="1"/>
  <c r="N52" i="1"/>
  <c r="M52" i="1"/>
  <c r="L52" i="1"/>
  <c r="R51" i="1"/>
  <c r="Q51" i="1"/>
  <c r="P51" i="1"/>
  <c r="O51" i="1"/>
  <c r="N51" i="1"/>
  <c r="M51" i="1"/>
  <c r="L51" i="1"/>
  <c r="R49" i="1"/>
  <c r="Q49" i="1"/>
  <c r="P49" i="1"/>
  <c r="O49" i="1"/>
  <c r="N49" i="1"/>
  <c r="M49" i="1"/>
  <c r="L49" i="1"/>
  <c r="R48" i="1"/>
  <c r="Q48" i="1"/>
  <c r="P48" i="1"/>
  <c r="O48" i="1"/>
  <c r="N48" i="1"/>
  <c r="M48" i="1"/>
  <c r="L48" i="1"/>
  <c r="R47" i="1"/>
  <c r="Q47" i="1"/>
  <c r="P47" i="1"/>
  <c r="O47" i="1"/>
  <c r="N47" i="1"/>
  <c r="M47" i="1"/>
  <c r="L47" i="1"/>
  <c r="R45" i="1"/>
  <c r="Q45" i="1"/>
  <c r="P45" i="1"/>
  <c r="O45" i="1"/>
  <c r="N45" i="1"/>
  <c r="M45" i="1"/>
  <c r="L45" i="1"/>
  <c r="R44" i="1"/>
  <c r="Q44" i="1"/>
  <c r="P44" i="1"/>
  <c r="O44" i="1"/>
  <c r="N44" i="1"/>
  <c r="M44" i="1"/>
  <c r="L44" i="1"/>
  <c r="R43" i="1"/>
  <c r="Q43" i="1"/>
  <c r="P43" i="1"/>
  <c r="O43" i="1"/>
  <c r="N43" i="1"/>
  <c r="M43" i="1"/>
  <c r="L43" i="1"/>
  <c r="R42" i="1"/>
  <c r="Q42" i="1"/>
  <c r="P42" i="1"/>
  <c r="O42" i="1"/>
  <c r="N42" i="1"/>
  <c r="M42" i="1"/>
  <c r="L42" i="1"/>
  <c r="R41" i="1"/>
  <c r="Q41" i="1"/>
  <c r="P41" i="1"/>
  <c r="O41" i="1"/>
  <c r="N41" i="1"/>
  <c r="M41" i="1"/>
  <c r="L41" i="1"/>
  <c r="R39" i="1"/>
  <c r="Q39" i="1"/>
  <c r="P39" i="1"/>
  <c r="O39" i="1"/>
  <c r="N39" i="1"/>
  <c r="M39" i="1"/>
  <c r="L39" i="1"/>
  <c r="R38" i="1"/>
  <c r="Q38" i="1"/>
  <c r="P38" i="1"/>
  <c r="O38" i="1"/>
  <c r="N38" i="1"/>
  <c r="M38" i="1"/>
  <c r="L38" i="1"/>
  <c r="R37" i="1"/>
  <c r="Q37" i="1"/>
  <c r="P37" i="1"/>
  <c r="O37" i="1"/>
  <c r="N37" i="1"/>
  <c r="M37" i="1"/>
  <c r="L37" i="1"/>
  <c r="R36" i="1"/>
  <c r="Q36" i="1"/>
  <c r="P36" i="1"/>
  <c r="O36" i="1"/>
  <c r="N36" i="1"/>
  <c r="M36" i="1"/>
  <c r="L36" i="1"/>
  <c r="R35" i="1"/>
  <c r="Q35" i="1"/>
  <c r="P35" i="1"/>
  <c r="O35" i="1"/>
  <c r="N35" i="1"/>
  <c r="M35" i="1"/>
  <c r="L35" i="1"/>
  <c r="R34" i="1"/>
  <c r="Q34" i="1"/>
  <c r="P34" i="1"/>
  <c r="O34" i="1"/>
  <c r="N34" i="1"/>
  <c r="M34" i="1"/>
  <c r="L34" i="1"/>
  <c r="J63" i="1"/>
  <c r="I63" i="1"/>
  <c r="H63" i="1"/>
  <c r="G63" i="1"/>
  <c r="F63" i="1"/>
  <c r="E63" i="1"/>
  <c r="D63" i="1"/>
  <c r="C63" i="1"/>
  <c r="B63" i="1"/>
  <c r="J61" i="1"/>
  <c r="I61" i="1"/>
  <c r="H61" i="1"/>
  <c r="G61" i="1"/>
  <c r="F61" i="1"/>
  <c r="E61" i="1"/>
  <c r="D61" i="1"/>
  <c r="C61" i="1"/>
  <c r="B61" i="1"/>
  <c r="J60" i="1"/>
  <c r="I60" i="1"/>
  <c r="H60" i="1"/>
  <c r="G60" i="1"/>
  <c r="F60" i="1"/>
  <c r="E60" i="1"/>
  <c r="D60" i="1"/>
  <c r="C60" i="1"/>
  <c r="B60" i="1"/>
  <c r="J59" i="1"/>
  <c r="I59" i="1"/>
  <c r="H59" i="1"/>
  <c r="G59" i="1"/>
  <c r="F59" i="1"/>
  <c r="E59" i="1"/>
  <c r="D59" i="1"/>
  <c r="C59" i="1"/>
  <c r="B59" i="1"/>
  <c r="J57" i="1"/>
  <c r="I57" i="1"/>
  <c r="H57" i="1"/>
  <c r="G57" i="1"/>
  <c r="F57" i="1"/>
  <c r="E57" i="1"/>
  <c r="D57" i="1"/>
  <c r="C57" i="1"/>
  <c r="B57" i="1"/>
  <c r="J56" i="1"/>
  <c r="I56" i="1"/>
  <c r="H56" i="1"/>
  <c r="G56" i="1"/>
  <c r="F56" i="1"/>
  <c r="E56" i="1"/>
  <c r="D56" i="1"/>
  <c r="C56" i="1"/>
  <c r="B56" i="1"/>
  <c r="J55" i="1"/>
  <c r="I55" i="1"/>
  <c r="H55" i="1"/>
  <c r="G55" i="1"/>
  <c r="F55" i="1"/>
  <c r="E55" i="1"/>
  <c r="D55" i="1"/>
  <c r="C55" i="1"/>
  <c r="B55" i="1"/>
  <c r="J53" i="1"/>
  <c r="I53" i="1"/>
  <c r="H53" i="1"/>
  <c r="G53" i="1"/>
  <c r="F53" i="1"/>
  <c r="E53" i="1"/>
  <c r="D53" i="1"/>
  <c r="C53" i="1"/>
  <c r="B53" i="1"/>
  <c r="J52" i="1"/>
  <c r="I52" i="1"/>
  <c r="H52" i="1"/>
  <c r="G52" i="1"/>
  <c r="F52" i="1"/>
  <c r="E52" i="1"/>
  <c r="D52" i="1"/>
  <c r="C52" i="1"/>
  <c r="B52" i="1"/>
  <c r="J51" i="1"/>
  <c r="I51" i="1"/>
  <c r="H51" i="1"/>
  <c r="G51" i="1"/>
  <c r="F51" i="1"/>
  <c r="E51" i="1"/>
  <c r="D51" i="1"/>
  <c r="C51" i="1"/>
  <c r="B51" i="1"/>
  <c r="J49" i="1"/>
  <c r="I49" i="1"/>
  <c r="H49" i="1"/>
  <c r="G49" i="1"/>
  <c r="F49" i="1"/>
  <c r="E49" i="1"/>
  <c r="D49" i="1"/>
  <c r="C49" i="1"/>
  <c r="B49" i="1"/>
  <c r="J48" i="1"/>
  <c r="I48" i="1"/>
  <c r="H48" i="1"/>
  <c r="G48" i="1"/>
  <c r="F48" i="1"/>
  <c r="E48" i="1"/>
  <c r="D48" i="1"/>
  <c r="C48" i="1"/>
  <c r="B48" i="1"/>
  <c r="J47" i="1"/>
  <c r="I47" i="1"/>
  <c r="H47" i="1"/>
  <c r="G47" i="1"/>
  <c r="F47" i="1"/>
  <c r="E47" i="1"/>
  <c r="D47" i="1"/>
  <c r="C47" i="1"/>
  <c r="B47" i="1"/>
  <c r="J45" i="1"/>
  <c r="I45" i="1"/>
  <c r="H45" i="1"/>
  <c r="G45" i="1"/>
  <c r="F45" i="1"/>
  <c r="E45" i="1"/>
  <c r="D45" i="1"/>
  <c r="C45" i="1"/>
  <c r="B45" i="1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39" i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K63" i="1"/>
  <c r="K61" i="1"/>
  <c r="K60" i="1"/>
  <c r="K59" i="1"/>
  <c r="K57" i="1"/>
  <c r="K56" i="1"/>
  <c r="K55" i="1"/>
  <c r="K53" i="1"/>
  <c r="K52" i="1"/>
  <c r="K51" i="1"/>
  <c r="K49" i="1"/>
  <c r="K48" i="1"/>
  <c r="K47" i="1"/>
  <c r="K45" i="1"/>
  <c r="K44" i="1"/>
  <c r="K43" i="1"/>
  <c r="K42" i="1"/>
  <c r="K41" i="1"/>
  <c r="K39" i="1"/>
  <c r="K38" i="1"/>
  <c r="K37" i="1"/>
  <c r="K36" i="1"/>
  <c r="K35" i="1"/>
  <c r="K34" i="1"/>
  <c r="Q14" i="1"/>
  <c r="K26" i="1"/>
  <c r="H14" i="1"/>
  <c r="C18" i="1"/>
  <c r="H40" i="1"/>
  <c r="I58" i="1"/>
  <c r="L58" i="1"/>
  <c r="M46" i="1"/>
  <c r="L54" i="1"/>
  <c r="E40" i="1"/>
  <c r="O46" i="1"/>
  <c r="E62" i="1"/>
  <c r="P50" i="1"/>
  <c r="G50" i="1"/>
  <c r="I54" i="1"/>
  <c r="F46" i="1"/>
  <c r="P62" i="1"/>
  <c r="D40" i="1"/>
  <c r="C40" i="1"/>
  <c r="J62" i="1"/>
  <c r="G58" i="1"/>
  <c r="H50" i="1"/>
  <c r="N46" i="1"/>
  <c r="N40" i="1"/>
  <c r="E46" i="1"/>
  <c r="O50" i="1"/>
  <c r="K50" i="1"/>
  <c r="B40" i="1"/>
  <c r="N50" i="1"/>
  <c r="R50" i="1"/>
  <c r="P54" i="1"/>
  <c r="O58" i="1"/>
  <c r="H46" i="1"/>
  <c r="F50" i="1"/>
  <c r="E58" i="1"/>
  <c r="L50" i="1"/>
  <c r="R46" i="1"/>
  <c r="Q46" i="1"/>
  <c r="K58" i="1"/>
  <c r="G62" i="1"/>
  <c r="B54" i="1"/>
  <c r="J58" i="1"/>
  <c r="I46" i="1"/>
  <c r="G54" i="1"/>
  <c r="H54" i="1"/>
  <c r="Q40" i="1"/>
  <c r="B58" i="1"/>
  <c r="G46" i="1"/>
  <c r="B62" i="1"/>
  <c r="J46" i="1"/>
  <c r="K46" i="1"/>
  <c r="J50" i="1"/>
  <c r="Q50" i="1"/>
  <c r="Q54" i="1"/>
  <c r="E54" i="1"/>
  <c r="L40" i="1"/>
  <c r="L62" i="1"/>
  <c r="M50" i="1"/>
  <c r="M58" i="1"/>
  <c r="J40" i="1"/>
  <c r="O40" i="1"/>
  <c r="H58" i="1"/>
  <c r="P46" i="1"/>
  <c r="O54" i="1"/>
  <c r="F58" i="1"/>
  <c r="O62" i="1"/>
  <c r="F62" i="1"/>
  <c r="N58" i="1"/>
  <c r="R54" i="1"/>
  <c r="Q62" i="1"/>
  <c r="R40" i="1"/>
  <c r="N54" i="1"/>
  <c r="C58" i="1"/>
  <c r="K62" i="1"/>
  <c r="F40" i="1"/>
  <c r="M54" i="1"/>
  <c r="C50" i="1"/>
  <c r="J54" i="1"/>
  <c r="C54" i="1"/>
  <c r="Q58" i="1"/>
  <c r="K54" i="1"/>
  <c r="E50" i="1"/>
  <c r="P40" i="1"/>
  <c r="D50" i="1"/>
  <c r="I62" i="1"/>
  <c r="D58" i="1"/>
  <c r="K40" i="1"/>
  <c r="C46" i="1"/>
  <c r="G40" i="1"/>
  <c r="B50" i="1"/>
  <c r="N62" i="1"/>
  <c r="R58" i="1"/>
  <c r="B46" i="1"/>
  <c r="C62" i="1"/>
  <c r="D54" i="1"/>
  <c r="H62" i="1"/>
  <c r="M62" i="1"/>
  <c r="F54" i="1"/>
  <c r="M40" i="1"/>
  <c r="D62" i="1"/>
  <c r="R62" i="1"/>
  <c r="P58" i="1"/>
  <c r="D46" i="1"/>
  <c r="I50" i="1"/>
  <c r="I40" i="1"/>
  <c r="L46" i="1"/>
  <c r="L5" i="1" l="1"/>
  <c r="O30" i="1"/>
  <c r="G30" i="1"/>
  <c r="F30" i="1"/>
  <c r="E30" i="1"/>
  <c r="D30" i="1"/>
  <c r="C30" i="1"/>
  <c r="G26" i="1"/>
  <c r="F26" i="1"/>
  <c r="E26" i="1"/>
  <c r="D26" i="1"/>
  <c r="C26" i="1"/>
  <c r="N22" i="1"/>
  <c r="G22" i="1"/>
  <c r="F22" i="1"/>
  <c r="E22" i="1"/>
  <c r="D22" i="1"/>
  <c r="C22" i="1"/>
  <c r="J18" i="1"/>
  <c r="G18" i="1"/>
  <c r="F18" i="1"/>
  <c r="E18" i="1"/>
  <c r="D18" i="1"/>
  <c r="R14" i="1"/>
  <c r="I14" i="1"/>
  <c r="I8" i="1"/>
  <c r="K18" i="1" l="1"/>
  <c r="O18" i="1" s="1"/>
  <c r="J26" i="1"/>
  <c r="H18" i="1"/>
  <c r="H30" i="1"/>
  <c r="R26" i="1"/>
  <c r="Q30" i="1"/>
  <c r="L14" i="1"/>
  <c r="K8" i="1"/>
  <c r="J22" i="1"/>
  <c r="K22" i="1" s="1"/>
  <c r="Q22" i="1"/>
  <c r="R30" i="1"/>
  <c r="Q26" i="1"/>
  <c r="R22" i="1"/>
  <c r="Q18" i="1"/>
  <c r="M18" i="1"/>
  <c r="I18" i="1" s="1"/>
  <c r="R18" i="1"/>
  <c r="K30" i="1"/>
  <c r="H26" i="1"/>
  <c r="N18" i="1"/>
  <c r="H22" i="1"/>
  <c r="J8" i="1"/>
  <c r="M22" i="1" l="1"/>
  <c r="O22" i="1"/>
  <c r="M14" i="1"/>
  <c r="J14" i="1" s="1"/>
  <c r="K14" i="1" s="1"/>
  <c r="L18" i="1"/>
  <c r="P18" i="1"/>
  <c r="J30" i="1"/>
  <c r="I22" i="1" l="1"/>
  <c r="L22" i="1" s="1"/>
  <c r="P22" i="1"/>
  <c r="M30" i="1"/>
  <c r="P30" i="1" s="1"/>
  <c r="N30" i="1"/>
  <c r="N14" i="1"/>
  <c r="O14" i="1"/>
  <c r="I30" i="1" l="1"/>
  <c r="L30" i="1" s="1"/>
  <c r="P14" i="1"/>
  <c r="O26" i="1" l="1"/>
  <c r="M26" i="1"/>
  <c r="I26" i="1" l="1"/>
  <c r="L26" i="1" s="1"/>
  <c r="N26" i="1"/>
  <c r="P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Crypto Wiz Guy (TM)</author>
  </authors>
  <commentList>
    <comment ref="I14" authorId="0" shapeId="0" xr:uid="{80ADBADC-6806-4F02-A6BB-C462457737CB}">
      <text>
        <r>
          <rPr>
            <b/>
            <sz val="9"/>
            <color indexed="81"/>
            <rFont val="Tahoma"/>
            <family val="2"/>
          </rPr>
          <t>Crypto Wiz Guy (TM):</t>
        </r>
        <r>
          <rPr>
            <sz val="9"/>
            <color indexed="81"/>
            <rFont val="Tahoma"/>
            <family val="2"/>
          </rPr>
          <t xml:space="preserve">
Solving this row based on the given value in column B. This table does not display vallues.</t>
        </r>
      </text>
    </comment>
    <comment ref="J18" authorId="0" shapeId="0" xr:uid="{A8A56FE5-C59A-4EF4-AF02-18C9A3B337D1}">
      <text>
        <r>
          <rPr>
            <b/>
            <sz val="9"/>
            <color indexed="81"/>
            <rFont val="Tahoma"/>
            <family val="2"/>
          </rPr>
          <t>Crypto Wiz Guy (TM):</t>
        </r>
        <r>
          <rPr>
            <sz val="9"/>
            <color indexed="81"/>
            <rFont val="Tahoma"/>
            <family val="2"/>
          </rPr>
          <t xml:space="preserve">
Solving this row based on the given value in column B. This table does not display vallues.</t>
        </r>
      </text>
    </comment>
    <comment ref="N22" authorId="0" shapeId="0" xr:uid="{C3C1BC8D-7547-40B1-9A27-E051E028CB65}">
      <text>
        <r>
          <rPr>
            <b/>
            <sz val="9"/>
            <color indexed="81"/>
            <rFont val="Tahoma"/>
            <family val="2"/>
          </rPr>
          <t>Crypto Wiz Guy (TM):</t>
        </r>
        <r>
          <rPr>
            <sz val="9"/>
            <color indexed="81"/>
            <rFont val="Tahoma"/>
            <family val="2"/>
          </rPr>
          <t xml:space="preserve">
Solving this row based on the given value in column B. This table does not display vallues.</t>
        </r>
      </text>
    </comment>
    <comment ref="K26" authorId="0" shapeId="0" xr:uid="{515E628B-0DF3-4AB7-B53D-5C068D3674A9}">
      <text>
        <r>
          <rPr>
            <b/>
            <sz val="9"/>
            <color indexed="81"/>
            <rFont val="Tahoma"/>
            <family val="2"/>
          </rPr>
          <t>Crypto Wiz Guy (TM):</t>
        </r>
        <r>
          <rPr>
            <sz val="9"/>
            <color indexed="81"/>
            <rFont val="Tahoma"/>
            <family val="2"/>
          </rPr>
          <t xml:space="preserve">
Solving this row based on the given value in column B. This table does not display vallues.</t>
        </r>
      </text>
    </comment>
    <comment ref="O30" authorId="0" shapeId="0" xr:uid="{82B1E61E-E1FF-4680-8E3F-BD151994F72D}">
      <text>
        <r>
          <rPr>
            <b/>
            <sz val="9"/>
            <color indexed="81"/>
            <rFont val="Tahoma"/>
            <family val="2"/>
          </rPr>
          <t>Crypto Wiz Guy (TM):</t>
        </r>
        <r>
          <rPr>
            <sz val="9"/>
            <color indexed="81"/>
            <rFont val="Tahoma"/>
            <family val="2"/>
          </rPr>
          <t xml:space="preserve">
Solving this row based on the given value in column B. This table does not display vallues.</t>
        </r>
      </text>
    </comment>
  </commentList>
</comments>
</file>

<file path=xl/sharedStrings.xml><?xml version="1.0" encoding="utf-8"?>
<sst xmlns="http://schemas.openxmlformats.org/spreadsheetml/2006/main" count="242" uniqueCount="136">
  <si>
    <t>A personalized deliverable from Crypto Wiz Guy™</t>
  </si>
  <si>
    <t>Color Key</t>
  </si>
  <si>
    <t>Unlocked user input area</t>
  </si>
  <si>
    <t>This spreadsheet helps Coinbase crypto sellers make informed decisions about breaking even, how much they can take to the bank or reinvest, and how much profit or loss to expect.</t>
  </si>
  <si>
    <t>Locked area</t>
  </si>
  <si>
    <t>Calculations are unrounded and their values may extend to more than the decimal places shown.</t>
  </si>
  <si>
    <t>Locked output area</t>
  </si>
  <si>
    <t>Action message</t>
  </si>
  <si>
    <t>© 2023 by Crypto Wiz Guy™</t>
  </si>
  <si>
    <t>Ctrl+Shift+p to save PDF</t>
  </si>
  <si>
    <t>Before sale, from row 14</t>
  </si>
  <si>
    <t>Bought at</t>
  </si>
  <si>
    <t>Difference</t>
  </si>
  <si>
    <t>Change %</t>
  </si>
  <si>
    <t>Required</t>
  </si>
  <si>
    <t>Outputs to enter into Coinbase, Advanced Trading, Limit Sale, Post Only</t>
  </si>
  <si>
    <t>Calculations</t>
  </si>
  <si>
    <t xml:space="preserve"> Calculations, continued</t>
  </si>
  <si>
    <t>Target type and value</t>
  </si>
  <si>
    <t>Actual transaction date mm/dd/yyyy</t>
  </si>
  <si>
    <t>Fee rate</t>
  </si>
  <si>
    <t>Basis of coins on hand $</t>
  </si>
  <si>
    <t>Coins on hand</t>
  </si>
  <si>
    <t>% of coins to sell</t>
  </si>
  <si>
    <t>Coins to sell</t>
  </si>
  <si>
    <t>Selling price per full coin $</t>
  </si>
  <si>
    <t>Net proceeds $ to bank or reinvest</t>
  </si>
  <si>
    <t>Net profit (loss) $</t>
  </si>
  <si>
    <t>Gross proceeds $</t>
  </si>
  <si>
    <t>Variable selling fee $</t>
  </si>
  <si>
    <t>Net proceeds % [ratio to this sell's basis]</t>
  </si>
  <si>
    <t>Net profit (loss) % [ratio to this sell's basis]</t>
  </si>
  <si>
    <t>Gain (loss) $ [excludes selling fees]</t>
  </si>
  <si>
    <t>Basis after sale $</t>
  </si>
  <si>
    <t>Coins after sale</t>
  </si>
  <si>
    <t>Available to make &gt;0</t>
  </si>
  <si>
    <t>Make &gt;=0 and &lt;=0.004</t>
  </si>
  <si>
    <t>Make &gt;0</t>
  </si>
  <si>
    <t>Make &gt;0 and &lt;=100%</t>
  </si>
  <si>
    <t>Make &gt;= 0.000016</t>
  </si>
  <si>
    <t>Make &gt; current online coin price</t>
  </si>
  <si>
    <t>Make &gt;= 0.01</t>
  </si>
  <si>
    <t>Available to make &lt;&gt;0</t>
  </si>
  <si>
    <t>1. Selling price $ target</t>
  </si>
  <si>
    <t>2. Net proceeds $ target to bank or re-invest</t>
  </si>
  <si>
    <t>3. Net proceeds % target [ratio to this sell's basis]</t>
  </si>
  <si>
    <t>4. Net profit (loss) $ target</t>
  </si>
  <si>
    <t>5. Net profit (loss) % target [ratio to this sell's basis]</t>
  </si>
  <si>
    <r>
      <t xml:space="preserve">Crypto Wiz Guy™ presents </t>
    </r>
    <r>
      <rPr>
        <b/>
        <sz val="30"/>
        <color rgb="FF000118"/>
        <rFont val="Calibri"/>
        <family val="2"/>
        <scheme val="minor"/>
      </rPr>
      <t>The online 5-Way Cryptocurrency Selling-for-Profit Calculator</t>
    </r>
  </si>
  <si>
    <t>Cell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</si>
  <si>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</si>
  <si>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</si>
  <si>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</si>
  <si>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</si>
  <si>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</si>
  <si>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</si>
  <si>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</si>
  <si>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</si>
  <si>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</si>
  <si>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</si>
  <si>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</si>
  <si>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</si>
  <si>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</si>
  <si>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</si>
  <si>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</si>
  <si>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</si>
  <si>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</si>
  <si>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Crypto Wiz Guy™ presents The online 5-Way Cryptocurrency Selling-for-Profit Calculator</t>
  </si>
  <si>
    <t>=IF(F14=0,0,E14/F14)</t>
  </si>
  <si>
    <t>=+I14-I8</t>
  </si>
  <si>
    <t>=IF(I8=0,0,(I14-I8)/I8)</t>
  </si>
  <si>
    <t>=+F14*G14</t>
  </si>
  <si>
    <t>=IF(B14=0,0,B14)</t>
  </si>
  <si>
    <t>=+L14-M14</t>
  </si>
  <si>
    <t>=+J14-(E14*G14)</t>
  </si>
  <si>
    <t>=+H14*I14</t>
  </si>
  <si>
    <t>=L14*D14</t>
  </si>
  <si>
    <t>=IF(OR(E14=0,G14=0),0,+J14/(E14*G14))</t>
  </si>
  <si>
    <t>=+IF(OR(B14=0,E14=0,G14=0),0,K14/(E14*G14))</t>
  </si>
  <si>
    <t>=(K14+M14)</t>
  </si>
  <si>
    <t>=(E14*(1-G14))</t>
  </si>
  <si>
    <t>=(F14*(1-G14))</t>
  </si>
  <si>
    <t>=IF($C$14=0,"",$C$14)</t>
  </si>
  <si>
    <t>=($D$14)</t>
  </si>
  <si>
    <t>=($E$14)</t>
  </si>
  <si>
    <t>=($F$14)</t>
  </si>
  <si>
    <t>=($G$14)</t>
  </si>
  <si>
    <t>=(F18*G18)</t>
  </si>
  <si>
    <t>=IF(OR($F18=0,$G18=0),0,((J18+M18)/(F18*G18)))</t>
  </si>
  <si>
    <t>=IF(B18=0,0,B18)</t>
  </si>
  <si>
    <t>=+J18-(E18*G18)</t>
  </si>
  <si>
    <t>=+H18*I18</t>
  </si>
  <si>
    <t>=(J18*D18)/(1-D18)</t>
  </si>
  <si>
    <t>=IF(OR(E18=0,G18=0),0,+J18/(E18*G18))</t>
  </si>
  <si>
    <t>=+IF(OR(B18=0,E18=0,G18=0),0,K18/(E18*G18))</t>
  </si>
  <si>
    <t>=(K18+M18)</t>
  </si>
  <si>
    <t>=(E18*(1-G18))</t>
  </si>
  <si>
    <t>=(F18*(1-G18))</t>
  </si>
  <si>
    <t>=+$G$14</t>
  </si>
  <si>
    <t>=(F22*G22)</t>
  </si>
  <si>
    <t>=IF(OR($F22=0,$G22=0),0,((J22+M22)/(F22*G22)))</t>
  </si>
  <si>
    <t>=N22*(E22*G22)</t>
  </si>
  <si>
    <t>=+J22-(E22*G22)</t>
  </si>
  <si>
    <t>=+I22*H22</t>
  </si>
  <si>
    <t>=(J22*D22)/(1-D22)</t>
  </si>
  <si>
    <t>=IF(B22=0,0,B22)</t>
  </si>
  <si>
    <t>=+IF(OR(B22=0,E22=0,G22=0),0,K22/(E22*G22))</t>
  </si>
  <si>
    <t>=(K22+M22)</t>
  </si>
  <si>
    <t>=(E22*(1-G22))</t>
  </si>
  <si>
    <t>=(F22*(1-G22))</t>
  </si>
  <si>
    <t>=$D$14</t>
  </si>
  <si>
    <t>=$E$14</t>
  </si>
  <si>
    <t>=$F$14</t>
  </si>
  <si>
    <t>=$G$14</t>
  </si>
  <si>
    <t>=F26*G26</t>
  </si>
  <si>
    <t>=IF(OR($F26=0,$G26=0),0,((J26+M26)/(F26*G26)))</t>
  </si>
  <si>
    <t>=K26+(E26*G26)</t>
  </si>
  <si>
    <t>=IF(B26=0,0,B26)</t>
  </si>
  <si>
    <t>=F26*G26*I26</t>
  </si>
  <si>
    <t>=(J26*D26)/(1-D26)</t>
  </si>
  <si>
    <t>=IF(OR(E26=0,G26=0),0,+J26/(E26*G26))</t>
  </si>
  <si>
    <t>=+IF(OR(B26=0,E26=0,G26=0),0,K26/(E26*G26))</t>
  </si>
  <si>
    <t>=K26+M26</t>
  </si>
  <si>
    <t>=E26*(1-G26)</t>
  </si>
  <si>
    <t>=F26*(1-G26)</t>
  </si>
  <si>
    <t>=F30*G30</t>
  </si>
  <si>
    <t>=IF(OR($F30=0,$G30=0),0,((J30+M30)/(F30*G30)))</t>
  </si>
  <si>
    <t>=K30+(E30*G30)</t>
  </si>
  <si>
    <t>=(E30*G30)*O30</t>
  </si>
  <si>
    <t>=F30*G30*I30</t>
  </si>
  <si>
    <t>=(J30*D30)/(1-D30)</t>
  </si>
  <si>
    <t>=IF(OR(E30=0,G30=0),0,+J30/(E30*G30))</t>
  </si>
  <si>
    <t>=IF(B30=0,0,B30)</t>
  </si>
  <si>
    <t>=K30+M30</t>
  </si>
  <si>
    <t>=E30*(1-G30)</t>
  </si>
  <si>
    <t>=F30*(1-G30)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</si>
</sst>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_(&quot;Coins&quot;* #,##0.00_);_(&quot;Coins&quot;* \(#,##0.00\);_(&quot;Coins&quot;* &quot;-&quot;??_);_(@_)"/>
    <numFmt numFmtId="165" formatCode="_([$$-409]* #,##0.00000000_);_([$$-409]* \(#,##0.00000000\);_([$$-409]* &quot;-&quot;??_);_(@_)"/>
    <numFmt numFmtId="166" formatCode="_(* #,##0.00000000_);_(* \(#,##0.00000000\);_(* &quot;-&quot;????????_);_(@_)"/>
    <numFmt numFmtId="167" formatCode="[$-409]m/d/yy\ h:mm\ AM/PM;@"/>
    <numFmt numFmtId="168" formatCode="0.00000000%"/>
    <numFmt numFmtId="169" formatCode="_([$$-409]* #,##0.00_);_([$$-409]* \(#,##0.00\);_([$$-409]* &quot;-&quot;??_);_(@_)"/>
    <numFmt numFmtId="170" formatCode="_([$$-409]* #,##0.00000000_);_([$$-409]* \(#,##0.00000000\);_([$$-409]* &quot;-&quot;????????_);_(@_)"/>
    <numFmt numFmtId="171" formatCode="_(&quot;Coins&quot;* #,##0.00000000_);_(&quot;Coins&quot;* \(#,##0.00000000\);_(&quot;Coins&quot;* &quot;-&quot;????????_);_(@_)"/>
    <numFmt numFmtId="172" formatCode="0.000%"/>
    <numFmt numFmtId="173" formatCode="_(&quot;Coins&quot;* #,##0.000000000_);_(&quot;Coins&quot;* \(#,##0.000000000\);_(&quot;Coins&quot;* &quot;-&quot;??_);_(@_)"/>
    <numFmt numFmtId="174" formatCode="_([$$-409]* #,##0.00_);_([$$-409]* \(#,##0.00\);_([$$-409]* &quot;-&quot;????????_);_(@_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30"/>
      <color rgb="FF000118"/>
      <name val="Calibri"/>
      <family val="2"/>
      <scheme val="minor"/>
    </font>
    <font>
      <b/>
      <sz val="30"/>
      <color rgb="FF000118"/>
      <name val="Calibri"/>
      <family val="2"/>
      <scheme val="minor"/>
    </font>
    <font>
      <sz val="16"/>
      <name val="Calibri"/>
      <family val="2"/>
      <scheme val="minor"/>
    </font>
    <font>
      <sz val="18"/>
      <color rgb="FF3F3F76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9"/>
      <name val="Calibri"/>
      <family val="2"/>
      <scheme val="minor"/>
    </font>
    <font>
      <b/>
      <sz val="1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</cellStyleXfs>
  <cellXfs count="189">
    <xf numFmtId="0" fontId="0" fillId="0" borderId="0" xfId="0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165" fontId="7" fillId="0" borderId="0" xfId="1" applyNumberFormat="1" applyFont="1"/>
    <xf numFmtId="0" fontId="7" fillId="0" borderId="0" xfId="0" applyFont="1"/>
    <xf numFmtId="166" fontId="10" fillId="0" borderId="0" xfId="4" applyNumberFormat="1" applyFont="1" applyFill="1" applyAlignment="1">
      <alignment horizontal="center" vertical="top" wrapText="1"/>
    </xf>
    <xf numFmtId="165" fontId="7" fillId="0" borderId="0" xfId="1" applyNumberFormat="1" applyFont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164" fontId="7" fillId="0" borderId="0" xfId="0" applyNumberFormat="1" applyFont="1" applyAlignment="1">
      <alignment horizontal="right" vertical="top" wrapText="1"/>
    </xf>
    <xf numFmtId="10" fontId="11" fillId="4" borderId="1" xfId="5" applyNumberFormat="1" applyFont="1" applyAlignment="1" applyProtection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10" fillId="0" borderId="0" xfId="4" quotePrefix="1" applyFont="1" applyFill="1"/>
    <xf numFmtId="165" fontId="7" fillId="0" borderId="0" xfId="1" quotePrefix="1" applyNumberFormat="1" applyFont="1"/>
    <xf numFmtId="0" fontId="7" fillId="0" borderId="0" xfId="0" quotePrefix="1" applyFont="1"/>
    <xf numFmtId="164" fontId="7" fillId="0" borderId="0" xfId="0" quotePrefix="1" applyNumberFormat="1" applyFont="1"/>
    <xf numFmtId="0" fontId="12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left" vertical="center"/>
    </xf>
    <xf numFmtId="0" fontId="13" fillId="6" borderId="3" xfId="7" applyFont="1" applyBorder="1" applyAlignment="1">
      <alignment horizontal="center" vertical="center"/>
    </xf>
    <xf numFmtId="164" fontId="7" fillId="0" borderId="0" xfId="0" applyNumberFormat="1" applyFont="1"/>
    <xf numFmtId="0" fontId="14" fillId="7" borderId="3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13" fillId="0" borderId="0" xfId="0" quotePrefix="1" applyFont="1" applyAlignment="1">
      <alignment vertical="center"/>
    </xf>
    <xf numFmtId="165" fontId="15" fillId="0" borderId="0" xfId="1" applyNumberFormat="1" applyFont="1" applyFill="1" applyBorder="1" applyAlignment="1" applyProtection="1">
      <alignment vertical="top"/>
    </xf>
    <xf numFmtId="165" fontId="7" fillId="0" borderId="0" xfId="1" applyNumberFormat="1" applyFont="1" applyAlignment="1">
      <alignment horizontal="center"/>
    </xf>
    <xf numFmtId="0" fontId="10" fillId="0" borderId="0" xfId="4" applyFont="1" applyFill="1"/>
    <xf numFmtId="0" fontId="10" fillId="0" borderId="0" xfId="0" applyFont="1"/>
    <xf numFmtId="0" fontId="17" fillId="8" borderId="3" xfId="0" applyFont="1" applyFill="1" applyBorder="1" applyAlignment="1">
      <alignment horizontal="center" wrapText="1"/>
    </xf>
    <xf numFmtId="0" fontId="17" fillId="0" borderId="3" xfId="0" applyFont="1" applyBorder="1" applyAlignment="1">
      <alignment horizontal="center" vertical="top" wrapText="1"/>
    </xf>
    <xf numFmtId="0" fontId="17" fillId="0" borderId="17" xfId="0" applyFont="1" applyBorder="1" applyAlignment="1">
      <alignment horizontal="center" vertical="top" wrapText="1"/>
    </xf>
    <xf numFmtId="165" fontId="17" fillId="0" borderId="17" xfId="1" applyNumberFormat="1" applyFont="1" applyBorder="1" applyAlignment="1">
      <alignment horizontal="center" vertical="top" wrapText="1"/>
    </xf>
    <xf numFmtId="0" fontId="17" fillId="0" borderId="8" xfId="0" applyFont="1" applyBorder="1" applyAlignment="1">
      <alignment horizontal="center" vertical="top" wrapText="1"/>
    </xf>
    <xf numFmtId="0" fontId="17" fillId="6" borderId="18" xfId="7" applyFont="1" applyBorder="1" applyAlignment="1" applyProtection="1">
      <alignment horizontal="center" vertical="top" wrapText="1"/>
    </xf>
    <xf numFmtId="165" fontId="17" fillId="6" borderId="14" xfId="1" applyNumberFormat="1" applyFont="1" applyFill="1" applyBorder="1" applyAlignment="1" applyProtection="1">
      <alignment horizontal="center" vertical="top" wrapText="1"/>
    </xf>
    <xf numFmtId="165" fontId="17" fillId="0" borderId="10" xfId="1" applyNumberFormat="1" applyFont="1" applyFill="1" applyBorder="1" applyAlignment="1" applyProtection="1">
      <alignment horizontal="center" vertical="top" wrapText="1"/>
    </xf>
    <xf numFmtId="165" fontId="17" fillId="0" borderId="17" xfId="1" applyNumberFormat="1" applyFont="1" applyFill="1" applyBorder="1" applyAlignment="1" applyProtection="1">
      <alignment horizontal="center" vertical="top" wrapText="1"/>
    </xf>
    <xf numFmtId="0" fontId="17" fillId="0" borderId="19" xfId="0" applyFont="1" applyBorder="1" applyAlignment="1">
      <alignment horizontal="center" vertical="top" wrapText="1"/>
    </xf>
    <xf numFmtId="0" fontId="18" fillId="0" borderId="19" xfId="0" applyFont="1" applyBorder="1" applyAlignment="1">
      <alignment horizontal="center" vertical="top" wrapText="1"/>
    </xf>
    <xf numFmtId="165" fontId="18" fillId="0" borderId="10" xfId="1" applyNumberFormat="1" applyFont="1" applyBorder="1" applyAlignment="1">
      <alignment horizontal="center" vertical="top" wrapText="1"/>
    </xf>
    <xf numFmtId="165" fontId="18" fillId="0" borderId="17" xfId="1" applyNumberFormat="1" applyFont="1" applyBorder="1" applyAlignment="1">
      <alignment horizontal="center" vertical="top" wrapText="1"/>
    </xf>
    <xf numFmtId="164" fontId="18" fillId="0" borderId="17" xfId="0" applyNumberFormat="1" applyFont="1" applyBorder="1" applyAlignment="1">
      <alignment horizontal="center" vertical="top" wrapText="1"/>
    </xf>
    <xf numFmtId="0" fontId="13" fillId="0" borderId="0" xfId="0" applyFont="1"/>
    <xf numFmtId="170" fontId="16" fillId="0" borderId="0" xfId="0" applyNumberFormat="1" applyFont="1" applyAlignment="1">
      <alignment horizontal="center"/>
    </xf>
    <xf numFmtId="171" fontId="19" fillId="4" borderId="1" xfId="5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>
      <alignment horizontal="center" vertical="center" wrapText="1"/>
    </xf>
    <xf numFmtId="170" fontId="16" fillId="0" borderId="0" xfId="0" applyNumberFormat="1" applyFont="1" applyAlignment="1">
      <alignment horizontal="center" vertical="center" wrapText="1"/>
    </xf>
    <xf numFmtId="165" fontId="10" fillId="0" borderId="0" xfId="1" applyNumberFormat="1" applyFont="1" applyAlignment="1">
      <alignment horizontal="center" vertical="top" wrapText="1"/>
    </xf>
    <xf numFmtId="171" fontId="10" fillId="0" borderId="0" xfId="0" applyNumberFormat="1" applyFont="1" applyAlignment="1">
      <alignment horizontal="center" vertical="top" wrapText="1"/>
    </xf>
    <xf numFmtId="172" fontId="10" fillId="0" borderId="0" xfId="0" applyNumberFormat="1" applyFont="1" applyAlignment="1">
      <alignment horizontal="center" vertical="top" wrapText="1"/>
    </xf>
    <xf numFmtId="170" fontId="10" fillId="8" borderId="0" xfId="0" applyNumberFormat="1" applyFont="1" applyFill="1" applyAlignment="1">
      <alignment horizontal="center" vertical="top" wrapText="1"/>
    </xf>
    <xf numFmtId="165" fontId="10" fillId="8" borderId="0" xfId="1" applyNumberFormat="1" applyFont="1" applyFill="1" applyAlignment="1">
      <alignment horizontal="center" vertical="center" wrapText="1"/>
    </xf>
    <xf numFmtId="165" fontId="10" fillId="8" borderId="0" xfId="1" applyNumberFormat="1" applyFont="1" applyFill="1" applyAlignment="1">
      <alignment horizontal="center" vertical="center"/>
    </xf>
    <xf numFmtId="168" fontId="10" fillId="8" borderId="0" xfId="0" applyNumberFormat="1" applyFont="1" applyFill="1" applyAlignment="1">
      <alignment horizontal="center" vertical="top" wrapText="1"/>
    </xf>
    <xf numFmtId="165" fontId="10" fillId="8" borderId="0" xfId="1" applyNumberFormat="1" applyFont="1" applyFill="1" applyAlignment="1">
      <alignment horizontal="center" vertical="top" wrapText="1"/>
    </xf>
    <xf numFmtId="164" fontId="10" fillId="8" borderId="0" xfId="0" applyNumberFormat="1" applyFont="1" applyFill="1" applyAlignment="1">
      <alignment horizontal="center" vertical="top" wrapText="1"/>
    </xf>
    <xf numFmtId="0" fontId="7" fillId="0" borderId="0" xfId="0" applyFont="1" applyAlignment="1">
      <alignment horizontal="center"/>
    </xf>
    <xf numFmtId="171" fontId="10" fillId="8" borderId="3" xfId="5" applyNumberFormat="1" applyFont="1" applyFill="1" applyBorder="1" applyAlignment="1" applyProtection="1">
      <alignment horizontal="center" vertical="center" wrapText="1"/>
    </xf>
    <xf numFmtId="0" fontId="15" fillId="0" borderId="0" xfId="0" applyFont="1" applyAlignment="1">
      <alignment vertical="center"/>
    </xf>
    <xf numFmtId="172" fontId="10" fillId="8" borderId="0" xfId="0" applyNumberFormat="1" applyFont="1" applyFill="1" applyAlignment="1">
      <alignment horizontal="center" vertical="center" wrapText="1"/>
    </xf>
    <xf numFmtId="172" fontId="10" fillId="8" borderId="0" xfId="0" applyNumberFormat="1" applyFont="1" applyFill="1" applyAlignment="1">
      <alignment horizontal="center" vertical="top" wrapText="1"/>
    </xf>
    <xf numFmtId="170" fontId="10" fillId="8" borderId="0" xfId="0" applyNumberFormat="1" applyFont="1" applyFill="1" applyAlignment="1">
      <alignment horizontal="center" vertical="center"/>
    </xf>
    <xf numFmtId="170" fontId="16" fillId="0" borderId="0" xfId="0" applyNumberFormat="1" applyFont="1" applyAlignment="1">
      <alignment horizontal="center" vertical="top" wrapText="1"/>
    </xf>
    <xf numFmtId="170" fontId="7" fillId="0" borderId="0" xfId="0" applyNumberFormat="1" applyFont="1"/>
    <xf numFmtId="170" fontId="15" fillId="8" borderId="0" xfId="0" applyNumberFormat="1" applyFont="1" applyFill="1"/>
    <xf numFmtId="165" fontId="15" fillId="8" borderId="0" xfId="1" applyNumberFormat="1" applyFont="1" applyFill="1"/>
    <xf numFmtId="172" fontId="15" fillId="8" borderId="0" xfId="0" applyNumberFormat="1" applyFont="1" applyFill="1" applyAlignment="1">
      <alignment horizontal="center"/>
    </xf>
    <xf numFmtId="0" fontId="15" fillId="8" borderId="0" xfId="0" applyFont="1" applyFill="1"/>
    <xf numFmtId="165" fontId="15" fillId="8" borderId="0" xfId="1" applyNumberFormat="1" applyFont="1" applyFill="1" applyAlignment="1">
      <alignment horizontal="center" vertical="center"/>
    </xf>
    <xf numFmtId="165" fontId="10" fillId="8" borderId="0" xfId="1" applyNumberFormat="1" applyFont="1" applyFill="1" applyBorder="1" applyAlignment="1">
      <alignment horizontal="center" vertical="center"/>
    </xf>
    <xf numFmtId="174" fontId="15" fillId="8" borderId="0" xfId="0" applyNumberFormat="1" applyFont="1" applyFill="1" applyAlignment="1">
      <alignment horizontal="center" vertical="center"/>
    </xf>
    <xf numFmtId="165" fontId="15" fillId="8" borderId="0" xfId="1" quotePrefix="1" applyNumberFormat="1" applyFont="1" applyFill="1"/>
    <xf numFmtId="0" fontId="20" fillId="0" borderId="0" xfId="0" applyFont="1"/>
    <xf numFmtId="0" fontId="16" fillId="0" borderId="0" xfId="0" applyFont="1" applyAlignment="1">
      <alignment vertical="top" wrapText="1"/>
    </xf>
    <xf numFmtId="0" fontId="17" fillId="0" borderId="0" xfId="0" applyFont="1" applyAlignment="1">
      <alignment horizontal="center" vertical="top" wrapText="1"/>
    </xf>
    <xf numFmtId="165" fontId="17" fillId="0" borderId="0" xfId="1" applyNumberFormat="1" applyFont="1" applyBorder="1" applyAlignment="1">
      <alignment horizontal="center" vertical="top" wrapText="1"/>
    </xf>
    <xf numFmtId="165" fontId="17" fillId="0" borderId="0" xfId="1" applyNumberFormat="1" applyFont="1" applyFill="1" applyBorder="1" applyAlignment="1" applyProtection="1">
      <alignment horizontal="center" vertical="top" wrapText="1"/>
    </xf>
    <xf numFmtId="0" fontId="18" fillId="0" borderId="0" xfId="0" applyFont="1" applyAlignment="1">
      <alignment horizontal="center" vertical="top" wrapText="1"/>
    </xf>
    <xf numFmtId="165" fontId="18" fillId="0" borderId="0" xfId="1" applyNumberFormat="1" applyFont="1" applyBorder="1" applyAlignment="1">
      <alignment horizontal="center" vertical="top" wrapText="1"/>
    </xf>
    <xf numFmtId="164" fontId="18" fillId="0" borderId="0" xfId="0" applyNumberFormat="1" applyFont="1" applyAlignment="1">
      <alignment horizontal="center" vertical="top" wrapText="1"/>
    </xf>
    <xf numFmtId="0" fontId="17" fillId="8" borderId="6" xfId="0" applyFont="1" applyFill="1" applyBorder="1" applyAlignment="1">
      <alignment horizontal="center" wrapText="1"/>
    </xf>
    <xf numFmtId="0" fontId="17" fillId="0" borderId="6" xfId="0" applyFont="1" applyBorder="1" applyAlignment="1">
      <alignment horizontal="center" vertical="top" wrapText="1"/>
    </xf>
    <xf numFmtId="14" fontId="19" fillId="4" borderId="1" xfId="5" applyNumberFormat="1" applyFont="1" applyAlignment="1" applyProtection="1">
      <alignment horizontal="center" vertical="center" wrapText="1"/>
      <protection locked="0"/>
    </xf>
    <xf numFmtId="165" fontId="10" fillId="9" borderId="3" xfId="1" applyNumberFormat="1" applyFont="1" applyFill="1" applyBorder="1" applyAlignment="1" applyProtection="1">
      <alignment horizontal="center" vertical="center" wrapText="1"/>
    </xf>
    <xf numFmtId="171" fontId="10" fillId="9" borderId="3" xfId="6" applyNumberFormat="1" applyFont="1" applyFill="1" applyBorder="1" applyAlignment="1" applyProtection="1">
      <alignment horizontal="center" vertical="center" wrapText="1"/>
    </xf>
    <xf numFmtId="168" fontId="10" fillId="9" borderId="3" xfId="3" applyNumberFormat="1" applyFont="1" applyFill="1" applyBorder="1" applyAlignment="1" applyProtection="1">
      <alignment horizontal="center" vertical="center" wrapText="1"/>
    </xf>
    <xf numFmtId="173" fontId="10" fillId="9" borderId="3" xfId="3" applyNumberFormat="1" applyFont="1" applyFill="1" applyBorder="1" applyAlignment="1" applyProtection="1">
      <alignment horizontal="center" vertical="center" wrapText="1"/>
    </xf>
    <xf numFmtId="165" fontId="10" fillId="9" borderId="21" xfId="1" applyNumberFormat="1" applyFont="1" applyFill="1" applyBorder="1" applyAlignment="1" applyProtection="1">
      <alignment horizontal="center" vertical="center" wrapText="1"/>
    </xf>
    <xf numFmtId="173" fontId="10" fillId="9" borderId="3" xfId="6" applyNumberFormat="1" applyFont="1" applyFill="1" applyBorder="1" applyAlignment="1" applyProtection="1">
      <alignment horizontal="center" vertical="center" wrapText="1"/>
    </xf>
    <xf numFmtId="168" fontId="10" fillId="9" borderId="21" xfId="3" applyNumberFormat="1" applyFont="1" applyFill="1" applyBorder="1" applyAlignment="1" applyProtection="1">
      <alignment horizontal="center" vertical="center" wrapText="1"/>
    </xf>
    <xf numFmtId="165" fontId="7" fillId="0" borderId="0" xfId="0" applyNumberFormat="1" applyFont="1"/>
    <xf numFmtId="170" fontId="7" fillId="0" borderId="0" xfId="0" applyNumberFormat="1" applyFont="1" applyAlignment="1">
      <alignment horizontal="center"/>
    </xf>
    <xf numFmtId="170" fontId="15" fillId="8" borderId="0" xfId="0" applyNumberFormat="1" applyFont="1" applyFill="1" applyAlignment="1">
      <alignment horizontal="center"/>
    </xf>
    <xf numFmtId="165" fontId="15" fillId="8" borderId="0" xfId="1" applyNumberFormat="1" applyFont="1" applyFill="1" applyAlignment="1">
      <alignment horizontal="center"/>
    </xf>
    <xf numFmtId="0" fontId="15" fillId="8" borderId="0" xfId="0" applyFont="1" applyFill="1" applyAlignment="1">
      <alignment horizontal="center"/>
    </xf>
    <xf numFmtId="165" fontId="15" fillId="8" borderId="0" xfId="1" quotePrefix="1" applyNumberFormat="1" applyFont="1" applyFill="1" applyAlignment="1">
      <alignment horizontal="center"/>
    </xf>
    <xf numFmtId="0" fontId="7" fillId="0" borderId="0" xfId="0" applyFont="1" applyAlignment="1">
      <alignment wrapText="1"/>
    </xf>
    <xf numFmtId="165" fontId="7" fillId="0" borderId="0" xfId="1" applyNumberFormat="1" applyFont="1" applyAlignment="1">
      <alignment wrapText="1"/>
    </xf>
    <xf numFmtId="0" fontId="10" fillId="0" borderId="0" xfId="4" applyFont="1" applyFill="1" applyAlignment="1">
      <alignment wrapText="1"/>
    </xf>
    <xf numFmtId="0" fontId="7" fillId="0" borderId="0" xfId="0" applyFont="1" applyAlignment="1">
      <alignment horizontal="right" wrapText="1"/>
    </xf>
    <xf numFmtId="165" fontId="15" fillId="0" borderId="0" xfId="1" applyNumberFormat="1" applyFont="1" applyFill="1" applyBorder="1" applyAlignment="1" applyProtection="1">
      <alignment vertical="top" wrapText="1"/>
    </xf>
    <xf numFmtId="165" fontId="7" fillId="0" borderId="0" xfId="1" applyNumberFormat="1" applyFont="1" applyAlignment="1">
      <alignment horizontal="center" wrapText="1"/>
    </xf>
    <xf numFmtId="167" fontId="15" fillId="0" borderId="0" xfId="5" applyNumberFormat="1" applyFont="1" applyFill="1" applyBorder="1" applyAlignment="1" applyProtection="1">
      <alignment horizontal="left" vertical="top" wrapText="1"/>
    </xf>
    <xf numFmtId="165" fontId="16" fillId="0" borderId="6" xfId="1" applyNumberFormat="1" applyFont="1" applyBorder="1" applyAlignment="1">
      <alignment horizontal="center" wrapText="1"/>
    </xf>
    <xf numFmtId="0" fontId="16" fillId="0" borderId="7" xfId="0" applyFont="1" applyBorder="1" applyAlignment="1">
      <alignment horizontal="center" wrapText="1"/>
    </xf>
    <xf numFmtId="165" fontId="16" fillId="0" borderId="9" xfId="1" applyNumberFormat="1" applyFont="1" applyBorder="1" applyAlignment="1">
      <alignment wrapText="1"/>
    </xf>
    <xf numFmtId="168" fontId="16" fillId="0" borderId="10" xfId="2" applyNumberFormat="1" applyFont="1" applyBorder="1" applyAlignment="1">
      <alignment horizontal="center" wrapText="1"/>
    </xf>
    <xf numFmtId="167" fontId="15" fillId="0" borderId="11" xfId="5" applyNumberFormat="1" applyFont="1" applyFill="1" applyBorder="1" applyAlignment="1" applyProtection="1">
      <alignment horizontal="left" vertical="top" wrapText="1"/>
    </xf>
    <xf numFmtId="165" fontId="16" fillId="0" borderId="0" xfId="1" applyNumberFormat="1" applyFont="1" applyAlignment="1">
      <alignment horizontal="center" wrapText="1"/>
    </xf>
    <xf numFmtId="165" fontId="16" fillId="0" borderId="0" xfId="1" applyNumberFormat="1" applyFont="1" applyAlignment="1">
      <alignment wrapText="1"/>
    </xf>
    <xf numFmtId="168" fontId="16" fillId="0" borderId="0" xfId="2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6" fillId="0" borderId="0" xfId="0" applyFont="1" applyAlignment="1">
      <alignment wrapText="1"/>
    </xf>
    <xf numFmtId="170" fontId="16" fillId="0" borderId="0" xfId="0" applyNumberFormat="1" applyFont="1" applyAlignment="1">
      <alignment horizontal="center" wrapText="1"/>
    </xf>
    <xf numFmtId="170" fontId="19" fillId="4" borderId="1" xfId="5" applyNumberFormat="1" applyFont="1" applyAlignment="1" applyProtection="1">
      <alignment horizontal="right" vertical="center" wrapText="1"/>
      <protection locked="0"/>
    </xf>
    <xf numFmtId="10" fontId="19" fillId="4" borderId="1" xfId="5" applyNumberFormat="1" applyFont="1" applyAlignment="1" applyProtection="1">
      <alignment vertical="center" wrapText="1"/>
      <protection locked="0"/>
    </xf>
    <xf numFmtId="165" fontId="19" fillId="4" borderId="1" xfId="1" applyNumberFormat="1" applyFont="1" applyFill="1" applyBorder="1" applyAlignment="1" applyProtection="1">
      <alignment horizontal="center" vertical="center" wrapText="1"/>
      <protection locked="0"/>
    </xf>
    <xf numFmtId="172" fontId="19" fillId="4" borderId="1" xfId="5" applyNumberFormat="1" applyFont="1" applyAlignment="1" applyProtection="1">
      <alignment vertical="center" wrapText="1"/>
      <protection locked="0"/>
    </xf>
    <xf numFmtId="0" fontId="16" fillId="0" borderId="22" xfId="0" applyFont="1" applyBorder="1" applyAlignment="1">
      <alignment vertical="top" wrapText="1"/>
    </xf>
    <xf numFmtId="0" fontId="7" fillId="0" borderId="0" xfId="0" applyFont="1" applyAlignment="1">
      <alignment horizontal="center" wrapText="1"/>
    </xf>
    <xf numFmtId="0" fontId="16" fillId="0" borderId="0" xfId="0" applyFont="1" applyAlignment="1">
      <alignment horizontal="left" wrapText="1"/>
    </xf>
    <xf numFmtId="165" fontId="16" fillId="0" borderId="0" xfId="1" applyNumberFormat="1" applyFont="1" applyFill="1" applyAlignment="1">
      <alignment horizontal="center" wrapText="1"/>
    </xf>
    <xf numFmtId="171" fontId="16" fillId="0" borderId="0" xfId="0" applyNumberFormat="1" applyFont="1" applyAlignment="1">
      <alignment horizontal="center" wrapText="1"/>
    </xf>
    <xf numFmtId="172" fontId="16" fillId="0" borderId="0" xfId="0" applyNumberFormat="1" applyFont="1" applyAlignment="1">
      <alignment horizontal="center" wrapText="1"/>
    </xf>
    <xf numFmtId="170" fontId="10" fillId="0" borderId="0" xfId="0" applyNumberFormat="1" applyFont="1" applyAlignment="1">
      <alignment horizontal="center" wrapText="1"/>
    </xf>
    <xf numFmtId="165" fontId="10" fillId="0" borderId="0" xfId="1" applyNumberFormat="1" applyFont="1" applyFill="1" applyAlignment="1">
      <alignment horizontal="center" wrapText="1"/>
    </xf>
    <xf numFmtId="170" fontId="19" fillId="4" borderId="23" xfId="5" applyNumberFormat="1" applyFont="1" applyBorder="1" applyAlignment="1" applyProtection="1">
      <alignment horizontal="center" vertical="center" wrapText="1"/>
      <protection locked="0"/>
    </xf>
    <xf numFmtId="14" fontId="10" fillId="0" borderId="0" xfId="5" applyNumberFormat="1" applyFont="1" applyFill="1" applyBorder="1" applyAlignment="1" applyProtection="1">
      <alignment horizontal="center" vertical="center" wrapText="1"/>
    </xf>
    <xf numFmtId="10" fontId="10" fillId="8" borderId="20" xfId="5" applyNumberFormat="1" applyFont="1" applyFill="1" applyBorder="1" applyAlignment="1" applyProtection="1">
      <alignment vertical="center" wrapText="1"/>
    </xf>
    <xf numFmtId="165" fontId="10" fillId="8" borderId="3" xfId="1" applyNumberFormat="1" applyFont="1" applyFill="1" applyBorder="1" applyAlignment="1" applyProtection="1">
      <alignment horizontal="center" vertical="center" wrapText="1"/>
    </xf>
    <xf numFmtId="172" fontId="10" fillId="8" borderId="3" xfId="5" applyNumberFormat="1" applyFont="1" applyFill="1" applyBorder="1" applyAlignment="1" applyProtection="1">
      <alignment vertical="center" wrapText="1"/>
    </xf>
    <xf numFmtId="165" fontId="10" fillId="9" borderId="3" xfId="1" quotePrefix="1" applyNumberFormat="1" applyFont="1" applyFill="1" applyBorder="1" applyAlignment="1">
      <alignment wrapText="1"/>
    </xf>
    <xf numFmtId="169" fontId="10" fillId="8" borderId="0" xfId="0" applyNumberFormat="1" applyFont="1" applyFill="1" applyAlignment="1">
      <alignment wrapText="1"/>
    </xf>
    <xf numFmtId="165" fontId="10" fillId="8" borderId="0" xfId="1" applyNumberFormat="1" applyFont="1" applyFill="1" applyAlignment="1">
      <alignment wrapText="1"/>
    </xf>
    <xf numFmtId="171" fontId="10" fillId="8" borderId="0" xfId="0" applyNumberFormat="1" applyFont="1" applyFill="1" applyAlignment="1">
      <alignment wrapText="1"/>
    </xf>
    <xf numFmtId="165" fontId="10" fillId="8" borderId="0" xfId="1" applyNumberFormat="1" applyFont="1" applyFill="1" applyAlignment="1" applyProtection="1">
      <alignment wrapText="1"/>
    </xf>
    <xf numFmtId="164" fontId="10" fillId="8" borderId="0" xfId="2" applyNumberFormat="1" applyFont="1" applyFill="1" applyAlignment="1" applyProtection="1">
      <alignment wrapText="1"/>
    </xf>
    <xf numFmtId="0" fontId="10" fillId="0" borderId="0" xfId="0" applyFont="1" applyAlignment="1">
      <alignment wrapText="1"/>
    </xf>
    <xf numFmtId="165" fontId="10" fillId="0" borderId="0" xfId="1" applyNumberFormat="1" applyFont="1" applyAlignment="1">
      <alignment wrapText="1"/>
    </xf>
    <xf numFmtId="171" fontId="10" fillId="0" borderId="0" xfId="0" applyNumberFormat="1" applyFont="1" applyAlignment="1">
      <alignment wrapText="1"/>
    </xf>
    <xf numFmtId="165" fontId="10" fillId="0" borderId="0" xfId="1" applyNumberFormat="1" applyFont="1" applyAlignment="1">
      <alignment horizontal="center" wrapText="1"/>
    </xf>
    <xf numFmtId="169" fontId="10" fillId="0" borderId="0" xfId="1" applyNumberFormat="1" applyFont="1" applyAlignment="1">
      <alignment horizontal="center" wrapText="1"/>
    </xf>
    <xf numFmtId="168" fontId="19" fillId="4" borderId="1" xfId="5" applyNumberFormat="1" applyFont="1" applyAlignment="1" applyProtection="1">
      <alignment horizontal="right" vertical="center" wrapText="1"/>
      <protection locked="0"/>
    </xf>
    <xf numFmtId="14" fontId="10" fillId="0" borderId="3" xfId="5" applyNumberFormat="1" applyFont="1" applyFill="1" applyBorder="1" applyAlignment="1" applyProtection="1">
      <alignment horizontal="center" vertical="center" wrapText="1"/>
    </xf>
    <xf numFmtId="10" fontId="10" fillId="8" borderId="3" xfId="5" applyNumberFormat="1" applyFont="1" applyFill="1" applyBorder="1" applyAlignment="1" applyProtection="1">
      <alignment vertical="center" wrapText="1"/>
    </xf>
    <xf numFmtId="0" fontId="10" fillId="8" borderId="0" xfId="0" applyFont="1" applyFill="1" applyAlignment="1">
      <alignment wrapText="1"/>
    </xf>
    <xf numFmtId="170" fontId="10" fillId="8" borderId="0" xfId="0" applyNumberFormat="1" applyFont="1" applyFill="1" applyAlignment="1">
      <alignment horizontal="center" vertical="center" wrapText="1"/>
    </xf>
    <xf numFmtId="165" fontId="10" fillId="8" borderId="0" xfId="1" applyNumberFormat="1" applyFont="1" applyFill="1" applyAlignment="1">
      <alignment horizontal="center" wrapText="1"/>
    </xf>
    <xf numFmtId="164" fontId="10" fillId="8" borderId="0" xfId="0" applyNumberFormat="1" applyFont="1" applyFill="1" applyAlignment="1">
      <alignment wrapText="1"/>
    </xf>
    <xf numFmtId="165" fontId="10" fillId="0" borderId="0" xfId="0" applyNumberFormat="1" applyFont="1" applyAlignment="1">
      <alignment wrapText="1"/>
    </xf>
    <xf numFmtId="172" fontId="10" fillId="0" borderId="0" xfId="0" applyNumberFormat="1" applyFont="1" applyAlignment="1">
      <alignment wrapText="1"/>
    </xf>
    <xf numFmtId="170" fontId="19" fillId="4" borderId="1" xfId="5" applyNumberFormat="1" applyFont="1" applyAlignment="1" applyProtection="1">
      <alignment horizontal="center" vertical="center" wrapText="1"/>
      <protection locked="0"/>
    </xf>
    <xf numFmtId="165" fontId="10" fillId="8" borderId="0" xfId="1" quotePrefix="1" applyNumberFormat="1" applyFont="1" applyFill="1" applyAlignment="1">
      <alignment wrapText="1"/>
    </xf>
    <xf numFmtId="164" fontId="10" fillId="8" borderId="0" xfId="0" quotePrefix="1" applyNumberFormat="1" applyFont="1" applyFill="1" applyAlignment="1">
      <alignment wrapText="1"/>
    </xf>
    <xf numFmtId="172" fontId="10" fillId="0" borderId="0" xfId="0" applyNumberFormat="1" applyFont="1" applyAlignment="1">
      <alignment horizontal="center" wrapText="1"/>
    </xf>
    <xf numFmtId="170" fontId="10" fillId="0" borderId="0" xfId="0" applyNumberFormat="1" applyFont="1" applyAlignment="1">
      <alignment horizontal="center" vertical="center" wrapText="1"/>
    </xf>
    <xf numFmtId="165" fontId="10" fillId="0" borderId="0" xfId="1" applyNumberFormat="1" applyFont="1" applyAlignment="1">
      <alignment horizontal="center" vertical="center" wrapText="1"/>
    </xf>
    <xf numFmtId="165" fontId="10" fillId="0" borderId="0" xfId="1" quotePrefix="1" applyNumberFormat="1" applyFont="1" applyAlignment="1">
      <alignment wrapText="1"/>
    </xf>
    <xf numFmtId="164" fontId="10" fillId="0" borderId="0" xfId="0" quotePrefix="1" applyNumberFormat="1" applyFont="1" applyAlignment="1">
      <alignment wrapText="1"/>
    </xf>
    <xf numFmtId="165" fontId="7" fillId="0" borderId="3" xfId="0" applyNumberFormat="1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3" xfId="0" applyBorder="1" applyAlignment="1">
      <alignment horizontal="center" vertical="top" wrapText="1"/>
    </xf>
    <xf numFmtId="0" fontId="0" fillId="10" borderId="3" xfId="0" applyFill="1" applyBorder="1" applyAlignment="1">
      <alignment horizontal="center" vertical="top" wrapText="1"/>
    </xf>
    <xf numFmtId="0" fontId="22" fillId="10" borderId="0" xfId="0" applyFont="1" applyFill="1" applyAlignment="1">
      <alignment horizontal="center" vertical="top"/>
    </xf>
    <xf numFmtId="0" fontId="22" fillId="10" borderId="3" xfId="0" applyFont="1" applyFill="1" applyBorder="1" applyAlignment="1">
      <alignment horizontal="center" vertical="top" wrapText="1"/>
    </xf>
    <xf numFmtId="0" fontId="22" fillId="10" borderId="0" xfId="0" applyFont="1" applyFill="1" applyAlignment="1">
      <alignment vertical="top"/>
    </xf>
    <xf numFmtId="0" fontId="22" fillId="10" borderId="3" xfId="0" applyFont="1" applyFill="1" applyBorder="1" applyAlignment="1">
      <alignment horizontal="center" vertical="top"/>
    </xf>
    <xf numFmtId="0" fontId="0" fillId="7" borderId="3" xfId="0" applyFill="1" applyBorder="1" applyAlignment="1">
      <alignment horizontal="center" vertical="top" wrapText="1"/>
    </xf>
    <xf numFmtId="0" fontId="21" fillId="0" borderId="9" xfId="0" applyFont="1" applyBorder="1" applyAlignment="1">
      <alignment horizontal="left" wrapText="1"/>
    </xf>
    <xf numFmtId="0" fontId="21" fillId="0" borderId="0" xfId="0" applyFont="1" applyAlignment="1">
      <alignment horizontal="left" wrapText="1"/>
    </xf>
    <xf numFmtId="165" fontId="10" fillId="0" borderId="12" xfId="1" applyNumberFormat="1" applyFont="1" applyFill="1" applyBorder="1" applyAlignment="1">
      <alignment horizontal="left" vertical="top" wrapText="1"/>
    </xf>
    <xf numFmtId="165" fontId="10" fillId="0" borderId="13" xfId="1" applyNumberFormat="1" applyFont="1" applyFill="1" applyBorder="1" applyAlignment="1">
      <alignment horizontal="left" vertical="top" wrapText="1"/>
    </xf>
    <xf numFmtId="165" fontId="10" fillId="0" borderId="14" xfId="1" applyNumberFormat="1" applyFont="1" applyFill="1" applyBorder="1" applyAlignment="1">
      <alignment horizontal="left" vertical="top" wrapText="1"/>
    </xf>
    <xf numFmtId="0" fontId="12" fillId="0" borderId="0" xfId="0" applyFont="1" applyAlignment="1">
      <alignment horizontal="left" vertical="center" wrapText="1"/>
    </xf>
    <xf numFmtId="0" fontId="10" fillId="4" borderId="4" xfId="5" applyFont="1" applyBorder="1" applyAlignment="1" applyProtection="1">
      <alignment horizontal="left" vertical="top" wrapText="1"/>
      <protection locked="0"/>
    </xf>
    <xf numFmtId="0" fontId="10" fillId="4" borderId="0" xfId="5" applyFont="1" applyBorder="1" applyAlignment="1" applyProtection="1">
      <alignment horizontal="left" vertical="top" wrapText="1"/>
      <protection locked="0"/>
    </xf>
    <xf numFmtId="167" fontId="15" fillId="0" borderId="0" xfId="5" applyNumberFormat="1" applyFont="1" applyFill="1" applyBorder="1" applyAlignment="1" applyProtection="1">
      <alignment horizontal="left" vertical="top"/>
    </xf>
    <xf numFmtId="0" fontId="16" fillId="6" borderId="15" xfId="7" applyFont="1" applyBorder="1" applyAlignment="1">
      <alignment horizontal="center" vertical="top" wrapText="1"/>
    </xf>
    <xf numFmtId="0" fontId="16" fillId="6" borderId="16" xfId="7" applyFont="1" applyBorder="1" applyAlignment="1">
      <alignment horizontal="center" vertical="top" wrapText="1"/>
    </xf>
    <xf numFmtId="165" fontId="16" fillId="0" borderId="12" xfId="1" applyNumberFormat="1" applyFont="1" applyBorder="1" applyAlignment="1">
      <alignment horizontal="left" vertical="top" wrapText="1"/>
    </xf>
    <xf numFmtId="165" fontId="16" fillId="0" borderId="14" xfId="1" applyNumberFormat="1" applyFont="1" applyBorder="1" applyAlignment="1">
      <alignment horizontal="left" vertical="top" wrapText="1"/>
    </xf>
    <xf numFmtId="165" fontId="16" fillId="0" borderId="0" xfId="1" applyNumberFormat="1" applyFont="1" applyAlignment="1">
      <alignment horizontal="left" vertical="top" wrapText="1"/>
    </xf>
    <xf numFmtId="0" fontId="16" fillId="0" borderId="5" xfId="0" applyFont="1" applyBorder="1" applyAlignment="1">
      <alignment horizontal="center" vertical="top" wrapText="1"/>
    </xf>
    <xf numFmtId="0" fontId="16" fillId="0" borderId="8" xfId="0" applyFont="1" applyBorder="1" applyAlignment="1">
      <alignment horizontal="center" vertical="top" wrapText="1"/>
    </xf>
    <xf numFmtId="0" fontId="14" fillId="7" borderId="0" xfId="0" applyFont="1" applyFill="1" applyAlignment="1">
      <alignment horizontal="center" vertical="center" wrapText="1"/>
    </xf>
    <xf numFmtId="165" fontId="10" fillId="0" borderId="12" xfId="1" applyNumberFormat="1" applyFont="1" applyBorder="1" applyAlignment="1">
      <alignment horizontal="center" vertical="top" wrapText="1"/>
    </xf>
    <xf numFmtId="165" fontId="10" fillId="0" borderId="13" xfId="1" applyNumberFormat="1" applyFont="1" applyBorder="1" applyAlignment="1">
      <alignment horizontal="center" vertical="top" wrapText="1"/>
    </xf>
    <xf numFmtId="165" fontId="10" fillId="0" borderId="14" xfId="1" applyNumberFormat="1" applyFont="1" applyBorder="1" applyAlignment="1">
      <alignment horizontal="center" vertical="top" wrapText="1"/>
    </xf>
  </cellXfs>
  <cellStyles count="8">
    <cellStyle name="Bad" xfId="4" builtinId="27"/>
    <cellStyle name="Calculation" xfId="6" builtinId="22"/>
    <cellStyle name="Comma" xfId="1" builtinId="3"/>
    <cellStyle name="Good" xfId="3" builtinId="26"/>
    <cellStyle name="Input" xfId="5" builtinId="20"/>
    <cellStyle name="Normal" xfId="0" builtinId="0"/>
    <cellStyle name="Note" xfId="7" builtinId="10"/>
    <cellStyle name="Percent" xfId="2" builtinId="5"/>
  </cellStyles>
  <dxfs count="78"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rgb="FFFF0000"/>
      </font>
      <fill>
        <patternFill>
          <bgColor rgb="FFFFFF00"/>
        </patternFill>
      </fill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fill>
        <patternFill>
          <bgColor rgb="FFFFFF00"/>
        </patternFill>
      </fill>
      <border>
        <top style="thin">
          <color auto="1"/>
        </top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3333"/>
      </font>
      <fill>
        <patternFill>
          <bgColor rgb="FFFFFF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FF00"/>
        </patternFill>
      </fill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  <border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</dxf>
    <dxf>
      <font>
        <color rgb="FFFF0000"/>
      </font>
      <fill>
        <patternFill patternType="solid"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D06E9-2658-487A-AA9A-C2B6472B1A7D}">
  <sheetPr codeName="Sheet1">
    <tabColor rgb="FF92D050"/>
  </sheetPr>
  <dimension ref="A1:S483"/>
  <sheetViews>
    <sheetView showGridLines="0" zoomScale="55" zoomScaleNormal="55" workbookViewId="0">
      <pane xSplit="3" ySplit="11" topLeftCell="D26" activePane="bottomRight" state="frozen"/>
      <selection pane="topRight" activeCell="A20" sqref="A20"/>
      <selection pane="bottomLeft" activeCell="A20" sqref="A20"/>
      <selection pane="bottomRight" activeCell="G47" sqref="G47"/>
    </sheetView>
  </sheetViews>
  <sheetFormatPr defaultColWidth="9.109375" defaultRowHeight="21" x14ac:dyDescent="0.4"/>
  <cols>
    <col min="1" max="1" width="5.44140625" style="5" customWidth="1"/>
    <col min="2" max="2" width="30.5546875" style="5" customWidth="1"/>
    <col min="3" max="3" width="22.44140625" style="5" customWidth="1"/>
    <col min="4" max="4" width="18.109375" style="5" customWidth="1"/>
    <col min="5" max="5" width="32" style="4" customWidth="1"/>
    <col min="6" max="6" width="25.5546875" style="5" customWidth="1"/>
    <col min="7" max="7" width="18" style="5" customWidth="1"/>
    <col min="8" max="8" width="28.33203125" style="5" customWidth="1"/>
    <col min="9" max="9" width="28" style="4" customWidth="1"/>
    <col min="10" max="10" width="28.44140625" style="4" customWidth="1"/>
    <col min="11" max="11" width="29.33203125" style="4" customWidth="1"/>
    <col min="12" max="12" width="31.5546875" style="4" customWidth="1"/>
    <col min="13" max="13" width="24.21875" style="4" bestFit="1" customWidth="1"/>
    <col min="14" max="14" width="27" style="25" customWidth="1"/>
    <col min="15" max="15" width="28" style="5" bestFit="1" customWidth="1"/>
    <col min="16" max="16" width="30.44140625" style="4" customWidth="1"/>
    <col min="17" max="17" width="27.88671875" style="4" customWidth="1"/>
    <col min="18" max="18" width="28.44140625" style="5" customWidth="1"/>
    <col min="19" max="19" width="26.5546875" style="19" customWidth="1"/>
    <col min="20" max="16384" width="9.109375" style="5"/>
  </cols>
  <sheetData>
    <row r="1" spans="1:19" x14ac:dyDescent="0.4">
      <c r="A1" s="71" t="s">
        <v>0</v>
      </c>
    </row>
    <row r="2" spans="1:19" ht="38.4" x14ac:dyDescent="0.35">
      <c r="B2" s="1" t="s">
        <v>1</v>
      </c>
      <c r="C2" s="2"/>
      <c r="D2" s="3" t="s">
        <v>48</v>
      </c>
      <c r="N2" s="6"/>
      <c r="Q2" s="7"/>
      <c r="R2" s="8"/>
      <c r="S2" s="9"/>
    </row>
    <row r="3" spans="1:19" ht="40.5" customHeight="1" x14ac:dyDescent="0.4">
      <c r="B3" s="10" t="s">
        <v>2</v>
      </c>
      <c r="D3" s="174" t="s">
        <v>3</v>
      </c>
      <c r="E3" s="174"/>
      <c r="F3" s="174"/>
      <c r="G3" s="174"/>
      <c r="H3" s="174"/>
      <c r="I3" s="174"/>
      <c r="J3" s="174"/>
      <c r="K3" s="174"/>
      <c r="N3" s="12"/>
      <c r="Q3" s="13"/>
      <c r="R3" s="14"/>
      <c r="S3" s="15"/>
    </row>
    <row r="4" spans="1:19" ht="40.5" customHeight="1" x14ac:dyDescent="0.4">
      <c r="B4" s="16" t="s">
        <v>4</v>
      </c>
      <c r="D4" s="17" t="s">
        <v>5</v>
      </c>
      <c r="E4" s="11"/>
      <c r="F4" s="11"/>
      <c r="G4" s="11"/>
      <c r="H4" s="11"/>
      <c r="I4" s="11"/>
      <c r="J4" s="11"/>
      <c r="K4" s="11"/>
      <c r="N4" s="12"/>
      <c r="Q4" s="13"/>
      <c r="R4" s="14"/>
      <c r="S4" s="15"/>
    </row>
    <row r="5" spans="1:19" ht="40.5" customHeight="1" x14ac:dyDescent="0.35">
      <c r="B5" s="18" t="s">
        <v>6</v>
      </c>
      <c r="D5" s="175"/>
      <c r="E5" s="176"/>
      <c r="F5" s="176"/>
      <c r="G5" s="176"/>
      <c r="H5" s="176"/>
      <c r="I5" s="176"/>
      <c r="J5" s="176"/>
      <c r="K5" s="176"/>
      <c r="L5" s="182">
        <f>+D5</f>
        <v>0</v>
      </c>
      <c r="M5" s="182"/>
      <c r="N5" s="182"/>
      <c r="O5" s="182"/>
      <c r="P5" s="182"/>
      <c r="Q5" s="182"/>
      <c r="R5" s="182"/>
    </row>
    <row r="6" spans="1:19" ht="40.5" customHeight="1" x14ac:dyDescent="0.4">
      <c r="B6" s="20" t="s">
        <v>7</v>
      </c>
      <c r="C6" s="21"/>
      <c r="D6" s="22" t="s">
        <v>8</v>
      </c>
      <c r="E6" s="23"/>
      <c r="F6" s="177"/>
      <c r="G6" s="177"/>
      <c r="I6" s="5"/>
      <c r="J6" s="5"/>
      <c r="K6" s="5"/>
      <c r="M6" s="24"/>
    </row>
    <row r="7" spans="1:19" ht="23.25" customHeight="1" x14ac:dyDescent="0.4">
      <c r="B7" s="95"/>
      <c r="C7" s="98"/>
      <c r="D7" s="185" t="s">
        <v>9</v>
      </c>
      <c r="E7" s="185"/>
      <c r="F7" s="101"/>
      <c r="G7" s="101"/>
      <c r="H7" s="183" t="s">
        <v>10</v>
      </c>
      <c r="I7" s="102" t="s">
        <v>11</v>
      </c>
      <c r="J7" s="102" t="s">
        <v>12</v>
      </c>
      <c r="K7" s="103" t="s">
        <v>13</v>
      </c>
      <c r="L7" s="96"/>
      <c r="M7" s="100"/>
      <c r="N7" s="97"/>
      <c r="O7" s="95"/>
      <c r="P7" s="96"/>
      <c r="Q7" s="96"/>
      <c r="R7" s="95"/>
    </row>
    <row r="8" spans="1:19" x14ac:dyDescent="0.4">
      <c r="B8" s="95"/>
      <c r="C8" s="98"/>
      <c r="D8" s="185"/>
      <c r="E8" s="185"/>
      <c r="F8" s="101"/>
      <c r="G8" s="101"/>
      <c r="H8" s="184"/>
      <c r="I8" s="104">
        <f>IF(F14=0,0,E14/F14)</f>
        <v>25454.545454545452</v>
      </c>
      <c r="J8" s="104">
        <f>+I14-I8</f>
        <v>4545.4545454545478</v>
      </c>
      <c r="K8" s="105">
        <f>IF(I8=0,0,(I14-I8)/I8)</f>
        <v>0.17857142857142869</v>
      </c>
      <c r="L8" s="96"/>
      <c r="M8" s="100"/>
      <c r="N8" s="97"/>
      <c r="O8" s="95"/>
      <c r="P8" s="96"/>
      <c r="Q8" s="96"/>
      <c r="R8" s="95"/>
    </row>
    <row r="9" spans="1:19" ht="9.75" customHeight="1" thickBot="1" x14ac:dyDescent="0.45">
      <c r="B9" s="95"/>
      <c r="C9" s="98"/>
      <c r="D9" s="106"/>
      <c r="E9" s="99"/>
      <c r="F9" s="101"/>
      <c r="G9" s="101"/>
      <c r="H9" s="107"/>
      <c r="I9" s="108"/>
      <c r="J9" s="108"/>
      <c r="K9" s="108"/>
      <c r="L9" s="109"/>
      <c r="M9" s="100"/>
      <c r="N9" s="97"/>
      <c r="O9" s="95"/>
      <c r="P9" s="96"/>
      <c r="Q9" s="96"/>
      <c r="R9" s="95"/>
    </row>
    <row r="10" spans="1:19" s="26" customFormat="1" ht="43.5" customHeight="1" thickBot="1" x14ac:dyDescent="0.45">
      <c r="B10" s="110"/>
      <c r="C10" s="110"/>
      <c r="D10" s="186" t="s">
        <v>14</v>
      </c>
      <c r="E10" s="187"/>
      <c r="F10" s="187"/>
      <c r="G10" s="188"/>
      <c r="H10" s="178" t="s">
        <v>15</v>
      </c>
      <c r="I10" s="179"/>
      <c r="J10" s="180" t="s">
        <v>16</v>
      </c>
      <c r="K10" s="181"/>
      <c r="L10" s="171" t="s">
        <v>17</v>
      </c>
      <c r="M10" s="172"/>
      <c r="N10" s="172"/>
      <c r="O10" s="172"/>
      <c r="P10" s="172"/>
      <c r="Q10" s="172"/>
      <c r="R10" s="173"/>
    </row>
    <row r="11" spans="1:19" s="41" customFormat="1" ht="100.5" customHeight="1" thickBot="1" x14ac:dyDescent="0.55000000000000004">
      <c r="B11" s="27" t="s">
        <v>18</v>
      </c>
      <c r="C11" s="28" t="s">
        <v>19</v>
      </c>
      <c r="D11" s="29" t="s">
        <v>20</v>
      </c>
      <c r="E11" s="30" t="s">
        <v>21</v>
      </c>
      <c r="F11" s="31" t="s">
        <v>22</v>
      </c>
      <c r="G11" s="31" t="s">
        <v>23</v>
      </c>
      <c r="H11" s="32" t="s">
        <v>24</v>
      </c>
      <c r="I11" s="33" t="s">
        <v>25</v>
      </c>
      <c r="J11" s="34" t="s">
        <v>26</v>
      </c>
      <c r="K11" s="30" t="s">
        <v>27</v>
      </c>
      <c r="L11" s="30" t="s">
        <v>28</v>
      </c>
      <c r="M11" s="35" t="s">
        <v>29</v>
      </c>
      <c r="N11" s="36" t="s">
        <v>30</v>
      </c>
      <c r="O11" s="37" t="s">
        <v>31</v>
      </c>
      <c r="P11" s="38" t="s">
        <v>32</v>
      </c>
      <c r="Q11" s="39" t="s">
        <v>33</v>
      </c>
      <c r="R11" s="40" t="s">
        <v>34</v>
      </c>
    </row>
    <row r="12" spans="1:19" s="41" customFormat="1" ht="41.25" customHeight="1" x14ac:dyDescent="0.5">
      <c r="B12" s="79"/>
      <c r="C12" s="80"/>
      <c r="D12" s="73"/>
      <c r="E12" s="74"/>
      <c r="F12" s="73"/>
      <c r="G12" s="73"/>
      <c r="H12" s="75"/>
      <c r="I12" s="75"/>
      <c r="J12" s="75"/>
      <c r="K12" s="74"/>
      <c r="L12" s="74"/>
      <c r="M12" s="75"/>
      <c r="N12" s="73"/>
      <c r="O12" s="76"/>
      <c r="P12" s="77"/>
      <c r="Q12" s="77"/>
      <c r="R12" s="78"/>
    </row>
    <row r="13" spans="1:19" ht="25.8" x14ac:dyDescent="0.5">
      <c r="B13" s="170" t="s">
        <v>43</v>
      </c>
      <c r="C13" s="170"/>
      <c r="D13" s="111"/>
      <c r="E13" s="108"/>
      <c r="F13" s="95"/>
      <c r="G13" s="111"/>
      <c r="H13" s="95"/>
      <c r="I13" s="95"/>
      <c r="J13" s="107"/>
      <c r="K13" s="107"/>
      <c r="L13" s="95"/>
      <c r="M13" s="107"/>
      <c r="N13" s="112"/>
      <c r="O13" s="112"/>
      <c r="P13" s="107"/>
      <c r="Q13" s="107"/>
      <c r="R13" s="112"/>
      <c r="S13" s="42"/>
    </row>
    <row r="14" spans="1:19" s="44" customFormat="1" ht="24" customHeight="1" x14ac:dyDescent="0.3">
      <c r="B14" s="113">
        <v>30000</v>
      </c>
      <c r="C14" s="81"/>
      <c r="D14" s="114">
        <v>4.0000000000000001E-3</v>
      </c>
      <c r="E14" s="115">
        <v>28000</v>
      </c>
      <c r="F14" s="43">
        <v>1.1000000000000001</v>
      </c>
      <c r="G14" s="116">
        <v>0.1</v>
      </c>
      <c r="H14" s="83">
        <f>+F14*G14</f>
        <v>0.11000000000000001</v>
      </c>
      <c r="I14" s="82">
        <f>IF(B14=0,0,B14)</f>
        <v>30000</v>
      </c>
      <c r="J14" s="82">
        <f>+L14-M14</f>
        <v>3286.8000000000006</v>
      </c>
      <c r="K14" s="82">
        <f>+J14-(E14*G14)</f>
        <v>486.80000000000064</v>
      </c>
      <c r="L14" s="82">
        <f>+H14*I14</f>
        <v>3300.0000000000005</v>
      </c>
      <c r="M14" s="82">
        <f>L14*D14</f>
        <v>13.200000000000003</v>
      </c>
      <c r="N14" s="84">
        <f>IF(OR(E14=0,G14=0),0,+J14/(E14*G14))</f>
        <v>1.1738571428571432</v>
      </c>
      <c r="O14" s="84">
        <f>+IF(OR(B14=0,E14=0,G14=0),0,K14/(E14*G14))</f>
        <v>0.17385714285714307</v>
      </c>
      <c r="P14" s="82">
        <f>(K14+M14)</f>
        <v>500.00000000000063</v>
      </c>
      <c r="Q14" s="82">
        <f>(E14*(1-G14))</f>
        <v>25200</v>
      </c>
      <c r="R14" s="85">
        <f>(F14*(1-G14))</f>
        <v>0.9900000000000001</v>
      </c>
    </row>
    <row r="15" spans="1:19" ht="41.25" customHeight="1" x14ac:dyDescent="0.35">
      <c r="B15" s="117" t="s">
        <v>35</v>
      </c>
      <c r="C15" s="117"/>
      <c r="D15" s="45" t="s">
        <v>36</v>
      </c>
      <c r="E15" s="46" t="s">
        <v>37</v>
      </c>
      <c r="F15" s="47" t="s">
        <v>37</v>
      </c>
      <c r="G15" s="48" t="s">
        <v>38</v>
      </c>
      <c r="H15" s="49" t="s">
        <v>39</v>
      </c>
      <c r="I15" s="53" t="s">
        <v>40</v>
      </c>
      <c r="J15" s="53" t="s">
        <v>41</v>
      </c>
      <c r="K15" s="50"/>
      <c r="L15" s="50"/>
      <c r="M15" s="50"/>
      <c r="N15" s="52"/>
      <c r="O15" s="52"/>
      <c r="P15" s="50"/>
      <c r="Q15" s="53"/>
      <c r="R15" s="54"/>
      <c r="S15" s="5"/>
    </row>
    <row r="16" spans="1:19" s="55" customFormat="1" ht="41.25" customHeight="1" x14ac:dyDescent="0.4">
      <c r="B16" s="118"/>
      <c r="C16" s="118"/>
      <c r="D16" s="119"/>
      <c r="E16" s="120"/>
      <c r="F16" s="121"/>
      <c r="G16" s="122"/>
      <c r="H16" s="123"/>
      <c r="I16" s="124"/>
      <c r="J16" s="124"/>
      <c r="K16" s="124"/>
      <c r="L16" s="124"/>
      <c r="M16" s="124"/>
      <c r="N16" s="123"/>
      <c r="O16" s="123"/>
      <c r="P16" s="124"/>
      <c r="Q16" s="124"/>
      <c r="R16" s="123"/>
    </row>
    <row r="17" spans="2:19" s="55" customFormat="1" ht="45.75" customHeight="1" x14ac:dyDescent="0.5">
      <c r="B17" s="169" t="s">
        <v>44</v>
      </c>
      <c r="C17" s="170"/>
      <c r="D17" s="119"/>
      <c r="E17" s="120"/>
      <c r="F17" s="121"/>
      <c r="G17" s="122"/>
      <c r="H17" s="123"/>
      <c r="I17" s="124"/>
      <c r="J17" s="124"/>
      <c r="K17" s="124"/>
      <c r="L17" s="124"/>
      <c r="M17" s="124"/>
      <c r="N17" s="123"/>
      <c r="O17" s="123"/>
      <c r="P17" s="124"/>
      <c r="Q17" s="124"/>
      <c r="R17" s="123"/>
    </row>
    <row r="18" spans="2:19" s="57" customFormat="1" ht="24" customHeight="1" x14ac:dyDescent="0.4">
      <c r="B18" s="125"/>
      <c r="C18" s="126" t="str">
        <f>IF($C$14=0,"",$C$14)</f>
        <v/>
      </c>
      <c r="D18" s="127">
        <f>($D$14)</f>
        <v>4.0000000000000001E-3</v>
      </c>
      <c r="E18" s="128">
        <f>($E$14)</f>
        <v>28000</v>
      </c>
      <c r="F18" s="56">
        <f>($F$14)</f>
        <v>1.1000000000000001</v>
      </c>
      <c r="G18" s="129">
        <f>($G$14)</f>
        <v>0.1</v>
      </c>
      <c r="H18" s="83">
        <f>(F18*G18)</f>
        <v>0.11000000000000001</v>
      </c>
      <c r="I18" s="130">
        <f>IF(OR($F18=0,$G18=0),0,((J18+M18)/(F18*G18)))</f>
        <v>0</v>
      </c>
      <c r="J18" s="82">
        <f>IF(B18=0,0,B18)</f>
        <v>0</v>
      </c>
      <c r="K18" s="82">
        <f>+J18-(E18*G18)</f>
        <v>-2800</v>
      </c>
      <c r="L18" s="82">
        <f>+H18*I18</f>
        <v>0</v>
      </c>
      <c r="M18" s="82">
        <f>(J18*D18)/(1-D18)</f>
        <v>0</v>
      </c>
      <c r="N18" s="84">
        <f>IF(OR(E18=0,G18=0),0,+J18/(E18*G18))</f>
        <v>0</v>
      </c>
      <c r="O18" s="84">
        <f>+IF(OR(B18=0,E18=0,G18=0),0,K18/(E18*G18))</f>
        <v>0</v>
      </c>
      <c r="P18" s="82">
        <f>(K18+M18)</f>
        <v>-2800</v>
      </c>
      <c r="Q18" s="82">
        <f>(E18*(1-G18))</f>
        <v>25200</v>
      </c>
      <c r="R18" s="85">
        <f>(F18*(1-G18))</f>
        <v>0.9900000000000001</v>
      </c>
    </row>
    <row r="19" spans="2:19" ht="42" x14ac:dyDescent="0.4">
      <c r="B19" s="72" t="s">
        <v>35</v>
      </c>
      <c r="C19" s="72"/>
      <c r="D19" s="131"/>
      <c r="E19" s="132"/>
      <c r="F19" s="133"/>
      <c r="G19" s="58"/>
      <c r="H19" s="49" t="s">
        <v>39</v>
      </c>
      <c r="I19" s="50" t="s">
        <v>40</v>
      </c>
      <c r="J19" s="50" t="s">
        <v>41</v>
      </c>
      <c r="K19" s="50"/>
      <c r="L19" s="50"/>
      <c r="M19" s="50"/>
      <c r="N19" s="59"/>
      <c r="O19" s="52"/>
      <c r="P19" s="50"/>
      <c r="Q19" s="134"/>
      <c r="R19" s="135"/>
      <c r="S19" s="5"/>
    </row>
    <row r="20" spans="2:19" ht="45" customHeight="1" x14ac:dyDescent="0.4">
      <c r="B20" s="95"/>
      <c r="C20" s="95"/>
      <c r="D20" s="136"/>
      <c r="E20" s="137"/>
      <c r="F20" s="138"/>
      <c r="G20" s="123"/>
      <c r="H20" s="123"/>
      <c r="I20" s="139"/>
      <c r="J20" s="139"/>
      <c r="K20" s="139"/>
      <c r="L20" s="139"/>
      <c r="M20" s="139"/>
      <c r="N20" s="123"/>
      <c r="O20" s="140"/>
      <c r="P20" s="139"/>
      <c r="Q20" s="139"/>
      <c r="R20" s="123"/>
      <c r="S20" s="5"/>
    </row>
    <row r="21" spans="2:19" ht="45" customHeight="1" x14ac:dyDescent="0.5">
      <c r="B21" s="169" t="s">
        <v>45</v>
      </c>
      <c r="C21" s="170"/>
      <c r="D21" s="136"/>
      <c r="E21" s="137"/>
      <c r="F21" s="138"/>
      <c r="G21" s="123"/>
      <c r="H21" s="123"/>
      <c r="I21" s="139"/>
      <c r="J21" s="139"/>
      <c r="K21" s="139"/>
      <c r="L21" s="139"/>
      <c r="M21" s="139"/>
      <c r="N21" s="123"/>
      <c r="O21" s="140"/>
      <c r="P21" s="139"/>
      <c r="Q21" s="139"/>
      <c r="R21" s="123"/>
      <c r="S21" s="5"/>
    </row>
    <row r="22" spans="2:19" s="44" customFormat="1" ht="24" customHeight="1" x14ac:dyDescent="0.4">
      <c r="B22" s="141"/>
      <c r="C22" s="142" t="str">
        <f>IF($C$14=0,"",$C$14)</f>
        <v/>
      </c>
      <c r="D22" s="143">
        <f>($D$14)</f>
        <v>4.0000000000000001E-3</v>
      </c>
      <c r="E22" s="128">
        <f>($E$14)</f>
        <v>28000</v>
      </c>
      <c r="F22" s="56">
        <f>($F$14)</f>
        <v>1.1000000000000001</v>
      </c>
      <c r="G22" s="129">
        <f>+$G$14</f>
        <v>0.1</v>
      </c>
      <c r="H22" s="83">
        <f>(F22*G22)</f>
        <v>0.11000000000000001</v>
      </c>
      <c r="I22" s="130">
        <f>IF(OR($F22=0,$G22=0),0,((J22+M22)/(F22*G22)))</f>
        <v>0</v>
      </c>
      <c r="J22" s="86">
        <f>N22*(E22*G22)</f>
        <v>0</v>
      </c>
      <c r="K22" s="82">
        <f>+J22-(E22*G22)</f>
        <v>-2800</v>
      </c>
      <c r="L22" s="82">
        <f>+I22*H22</f>
        <v>0</v>
      </c>
      <c r="M22" s="82">
        <f>(J22*D22)/(1-D22)</f>
        <v>0</v>
      </c>
      <c r="N22" s="84">
        <f>IF(B22=0,0,B22)</f>
        <v>0</v>
      </c>
      <c r="O22" s="84">
        <f>+IF(OR(B22=0,E22=0,G22=0),0,K22/(E22*G22))</f>
        <v>0</v>
      </c>
      <c r="P22" s="82">
        <f>(K22+M22)</f>
        <v>-2800</v>
      </c>
      <c r="Q22" s="82">
        <f>(E22*(1-G22))</f>
        <v>25200</v>
      </c>
      <c r="R22" s="87">
        <f>(F22*(1-G22))</f>
        <v>0.9900000000000001</v>
      </c>
    </row>
    <row r="23" spans="2:19" ht="42" x14ac:dyDescent="0.4">
      <c r="B23" s="72" t="s">
        <v>35</v>
      </c>
      <c r="C23" s="72"/>
      <c r="D23" s="144"/>
      <c r="E23" s="132"/>
      <c r="F23" s="133"/>
      <c r="G23" s="58"/>
      <c r="H23" s="49" t="s">
        <v>39</v>
      </c>
      <c r="I23" s="50" t="s">
        <v>40</v>
      </c>
      <c r="J23" s="53" t="s">
        <v>41</v>
      </c>
      <c r="K23" s="50"/>
      <c r="L23" s="50"/>
      <c r="M23" s="50"/>
      <c r="N23" s="145"/>
      <c r="O23" s="52"/>
      <c r="P23" s="146"/>
      <c r="Q23" s="132"/>
      <c r="R23" s="147"/>
      <c r="S23" s="5"/>
    </row>
    <row r="24" spans="2:19" x14ac:dyDescent="0.4">
      <c r="B24" s="95"/>
      <c r="C24" s="95"/>
      <c r="D24" s="148"/>
      <c r="E24" s="137"/>
      <c r="F24" s="138"/>
      <c r="G24" s="149"/>
      <c r="H24" s="123"/>
      <c r="I24" s="139"/>
      <c r="J24" s="139"/>
      <c r="K24" s="139"/>
      <c r="L24" s="139"/>
      <c r="M24" s="139"/>
      <c r="N24" s="123"/>
      <c r="O24" s="139"/>
      <c r="P24" s="139"/>
      <c r="Q24" s="139"/>
      <c r="R24" s="123"/>
      <c r="S24" s="5"/>
    </row>
    <row r="25" spans="2:19" ht="25.8" x14ac:dyDescent="0.5">
      <c r="B25" s="169" t="s">
        <v>46</v>
      </c>
      <c r="C25" s="169"/>
      <c r="D25" s="148"/>
      <c r="E25" s="137"/>
      <c r="F25" s="138"/>
      <c r="G25" s="149"/>
      <c r="H25" s="123"/>
      <c r="I25" s="139"/>
      <c r="J25" s="139"/>
      <c r="K25" s="139"/>
      <c r="L25" s="139"/>
      <c r="M25" s="139"/>
      <c r="N25" s="123"/>
      <c r="O25" s="139"/>
      <c r="P25" s="139"/>
      <c r="Q25" s="139"/>
      <c r="R25" s="123"/>
      <c r="S25" s="5"/>
    </row>
    <row r="26" spans="2:19" s="57" customFormat="1" ht="24" customHeight="1" x14ac:dyDescent="0.4">
      <c r="B26" s="150"/>
      <c r="C26" s="142" t="str">
        <f>IF($C$14=0,"",$C$14)</f>
        <v/>
      </c>
      <c r="D26" s="143">
        <f>$D$14</f>
        <v>4.0000000000000001E-3</v>
      </c>
      <c r="E26" s="128">
        <f>$E$14</f>
        <v>28000</v>
      </c>
      <c r="F26" s="56">
        <f>$F$14</f>
        <v>1.1000000000000001</v>
      </c>
      <c r="G26" s="129">
        <f>$G$14</f>
        <v>0.1</v>
      </c>
      <c r="H26" s="83">
        <f>F26*G26</f>
        <v>0.11000000000000001</v>
      </c>
      <c r="I26" s="130">
        <f>IF(OR($F26=0,$G26=0),0,((J26+M26)/(F26*G26)))</f>
        <v>25556.77254472435</v>
      </c>
      <c r="J26" s="82">
        <f>K26+(E26*G26)</f>
        <v>2800</v>
      </c>
      <c r="K26" s="82">
        <f>IF(B26=0,0,B26)</f>
        <v>0</v>
      </c>
      <c r="L26" s="130">
        <f>F26*G26*I26</f>
        <v>2811.2449799196788</v>
      </c>
      <c r="M26" s="82">
        <f>(J26*D26)/(1-D26)</f>
        <v>11.244979919678716</v>
      </c>
      <c r="N26" s="84">
        <f>IF(OR(E26=0,G26=0),0,+J26/(E26*G26))</f>
        <v>1</v>
      </c>
      <c r="O26" s="84">
        <f>+IF(OR(B26=0,E26=0,G26=0),0,K26/(E26*G26))</f>
        <v>0</v>
      </c>
      <c r="P26" s="82">
        <f>K26+M26</f>
        <v>11.244979919678716</v>
      </c>
      <c r="Q26" s="82">
        <f>E26*(1-G26)</f>
        <v>25200</v>
      </c>
      <c r="R26" s="85">
        <f>F26*(1-G26)</f>
        <v>0.9900000000000001</v>
      </c>
    </row>
    <row r="27" spans="2:19" ht="41.25" customHeight="1" x14ac:dyDescent="0.4">
      <c r="B27" s="72" t="s">
        <v>42</v>
      </c>
      <c r="C27" s="72"/>
      <c r="D27" s="144"/>
      <c r="E27" s="132"/>
      <c r="F27" s="133"/>
      <c r="G27" s="58"/>
      <c r="H27" s="49" t="s">
        <v>39</v>
      </c>
      <c r="I27" s="50" t="s">
        <v>40</v>
      </c>
      <c r="J27" s="53" t="s">
        <v>41</v>
      </c>
      <c r="K27" s="50"/>
      <c r="L27" s="50"/>
      <c r="M27" s="50"/>
      <c r="N27" s="59"/>
      <c r="O27" s="52"/>
      <c r="P27" s="50"/>
      <c r="Q27" s="151"/>
      <c r="R27" s="152"/>
      <c r="S27" s="5"/>
    </row>
    <row r="28" spans="2:19" ht="45" customHeight="1" x14ac:dyDescent="0.4">
      <c r="B28" s="95"/>
      <c r="C28" s="95"/>
      <c r="D28" s="136"/>
      <c r="E28" s="137"/>
      <c r="F28" s="138"/>
      <c r="G28" s="153"/>
      <c r="H28" s="154"/>
      <c r="I28" s="155"/>
      <c r="J28" s="46"/>
      <c r="K28" s="46"/>
      <c r="L28" s="155"/>
      <c r="M28" s="155"/>
      <c r="N28" s="46"/>
      <c r="O28" s="154"/>
      <c r="P28" s="155"/>
      <c r="Q28" s="156"/>
      <c r="R28" s="157"/>
      <c r="S28" s="5"/>
    </row>
    <row r="29" spans="2:19" ht="45" customHeight="1" x14ac:dyDescent="0.5">
      <c r="B29" s="169" t="s">
        <v>47</v>
      </c>
      <c r="C29" s="169"/>
      <c r="D29" s="136"/>
      <c r="E29" s="137"/>
      <c r="F29" s="138"/>
      <c r="G29" s="153"/>
      <c r="H29" s="154"/>
      <c r="I29" s="155"/>
      <c r="J29" s="46"/>
      <c r="K29" s="46"/>
      <c r="L29" s="155"/>
      <c r="M29" s="155"/>
      <c r="N29" s="46"/>
      <c r="O29" s="154"/>
      <c r="P29" s="155"/>
      <c r="Q29" s="156"/>
      <c r="R29" s="157"/>
      <c r="S29" s="5"/>
    </row>
    <row r="30" spans="2:19" s="57" customFormat="1" ht="24" customHeight="1" x14ac:dyDescent="0.4">
      <c r="B30" s="141"/>
      <c r="C30" s="142" t="str">
        <f>IF($C$14=0,"",$C$14)</f>
        <v/>
      </c>
      <c r="D30" s="143">
        <f>$D$14</f>
        <v>4.0000000000000001E-3</v>
      </c>
      <c r="E30" s="128">
        <f>$E$14</f>
        <v>28000</v>
      </c>
      <c r="F30" s="56">
        <f>$F$14</f>
        <v>1.1000000000000001</v>
      </c>
      <c r="G30" s="129">
        <f>$G$14</f>
        <v>0.1</v>
      </c>
      <c r="H30" s="83">
        <f>F30*G30</f>
        <v>0.11000000000000001</v>
      </c>
      <c r="I30" s="130">
        <f>IF(OR($F30=0,$G30=0),0,((J30+M30)/(F30*G30)))</f>
        <v>25556.77254472435</v>
      </c>
      <c r="J30" s="82">
        <f>K30+(E30*G30)</f>
        <v>2800</v>
      </c>
      <c r="K30" s="82">
        <f>(E30*G30)*O30</f>
        <v>0</v>
      </c>
      <c r="L30" s="130">
        <f>F30*G30*I30</f>
        <v>2811.2449799196788</v>
      </c>
      <c r="M30" s="82">
        <f>(J30*D30)/(1-D30)</f>
        <v>11.244979919678716</v>
      </c>
      <c r="N30" s="84">
        <f>IF(OR(E30=0,G30=0),0,+J30/(E30*G30))</f>
        <v>1</v>
      </c>
      <c r="O30" s="88">
        <f>IF(B30=0,0,B30)</f>
        <v>0</v>
      </c>
      <c r="P30" s="82">
        <f>K30+M30</f>
        <v>11.244979919678716</v>
      </c>
      <c r="Q30" s="82">
        <f>E30*(1-G30)</f>
        <v>25200</v>
      </c>
      <c r="R30" s="85">
        <f>F30*(1-G30)</f>
        <v>0.9900000000000001</v>
      </c>
    </row>
    <row r="31" spans="2:19" ht="42" x14ac:dyDescent="0.4">
      <c r="B31" s="72" t="s">
        <v>42</v>
      </c>
      <c r="C31" s="72"/>
      <c r="D31" s="144"/>
      <c r="E31" s="132"/>
      <c r="F31" s="133"/>
      <c r="G31" s="61"/>
      <c r="H31" s="49" t="s">
        <v>39</v>
      </c>
      <c r="I31" s="50" t="s">
        <v>40</v>
      </c>
      <c r="J31" s="53" t="s">
        <v>41</v>
      </c>
      <c r="K31" s="50"/>
      <c r="L31" s="50"/>
      <c r="M31" s="50"/>
      <c r="N31" s="59"/>
      <c r="O31" s="145"/>
      <c r="P31" s="50"/>
      <c r="Q31" s="151"/>
      <c r="R31" s="152"/>
      <c r="S31" s="5"/>
    </row>
    <row r="32" spans="2:19" ht="24" customHeight="1" x14ac:dyDescent="0.35">
      <c r="B32" s="62"/>
      <c r="C32" s="62"/>
      <c r="D32" s="63"/>
      <c r="E32" s="64"/>
      <c r="F32" s="65"/>
      <c r="G32" s="66"/>
      <c r="H32" s="60"/>
      <c r="I32" s="67"/>
      <c r="J32" s="67"/>
      <c r="K32" s="67"/>
      <c r="L32" s="51"/>
      <c r="M32" s="68"/>
      <c r="N32" s="69"/>
      <c r="O32" s="60"/>
      <c r="P32" s="70"/>
      <c r="Q32" s="70"/>
      <c r="S32" s="5"/>
    </row>
    <row r="33" spans="1:19" ht="24" customHeight="1" x14ac:dyDescent="0.35">
      <c r="A33" s="160" t="s">
        <v>49</v>
      </c>
      <c r="B33" s="90" t="s">
        <v>50</v>
      </c>
      <c r="C33" s="90" t="s">
        <v>51</v>
      </c>
      <c r="D33" s="91" t="s">
        <v>52</v>
      </c>
      <c r="E33" s="92" t="s">
        <v>53</v>
      </c>
      <c r="F33" s="65" t="s">
        <v>54</v>
      </c>
      <c r="G33" s="93" t="s">
        <v>55</v>
      </c>
      <c r="H33" s="60" t="s">
        <v>56</v>
      </c>
      <c r="I33" s="67" t="s">
        <v>57</v>
      </c>
      <c r="J33" s="67" t="s">
        <v>58</v>
      </c>
      <c r="K33" s="67" t="s">
        <v>59</v>
      </c>
      <c r="L33" s="51" t="s">
        <v>60</v>
      </c>
      <c r="M33" s="68" t="s">
        <v>61</v>
      </c>
      <c r="N33" s="69" t="s">
        <v>62</v>
      </c>
      <c r="O33" s="60" t="s">
        <v>63</v>
      </c>
      <c r="P33" s="94" t="s">
        <v>64</v>
      </c>
      <c r="Q33" s="94" t="s">
        <v>65</v>
      </c>
      <c r="R33" s="55" t="s">
        <v>66</v>
      </c>
      <c r="S33" s="5"/>
    </row>
    <row r="34" spans="1:19" ht="126" x14ac:dyDescent="0.35">
      <c r="A34" s="160">
        <v>2</v>
      </c>
      <c r="B34" s="158" t="str">
        <f t="shared" ref="B34:J39" si="0">B2</f>
        <v>Color Key</v>
      </c>
      <c r="C34" s="158">
        <f t="shared" si="0"/>
        <v>0</v>
      </c>
      <c r="D34" s="158" t="str">
        <f t="shared" si="0"/>
        <v>Crypto Wiz Guy™ presents The online 5-Way Cryptocurrency Selling-for-Profit Calculator</v>
      </c>
      <c r="E34" s="158">
        <f t="shared" si="0"/>
        <v>0</v>
      </c>
      <c r="F34" s="158">
        <f t="shared" si="0"/>
        <v>0</v>
      </c>
      <c r="G34" s="158">
        <f t="shared" si="0"/>
        <v>0</v>
      </c>
      <c r="H34" s="158">
        <f t="shared" si="0"/>
        <v>0</v>
      </c>
      <c r="I34" s="158">
        <f t="shared" si="0"/>
        <v>0</v>
      </c>
      <c r="J34" s="158">
        <f t="shared" si="0"/>
        <v>0</v>
      </c>
      <c r="K34" s="158">
        <f>K2</f>
        <v>0</v>
      </c>
      <c r="L34" s="158">
        <f t="shared" ref="L34:R34" si="1">L2</f>
        <v>0</v>
      </c>
      <c r="M34" s="158">
        <f t="shared" si="1"/>
        <v>0</v>
      </c>
      <c r="N34" s="158">
        <f t="shared" si="1"/>
        <v>0</v>
      </c>
      <c r="O34" s="158">
        <f t="shared" si="1"/>
        <v>0</v>
      </c>
      <c r="P34" s="158">
        <f t="shared" si="1"/>
        <v>0</v>
      </c>
      <c r="Q34" s="158">
        <f t="shared" si="1"/>
        <v>0</v>
      </c>
      <c r="R34" s="158">
        <f t="shared" si="1"/>
        <v>0</v>
      </c>
      <c r="S34" s="5"/>
    </row>
    <row r="35" spans="1:19" ht="252" x14ac:dyDescent="0.35">
      <c r="A35" s="160">
        <v>3</v>
      </c>
      <c r="B35" s="158" t="str">
        <f t="shared" si="0"/>
        <v>Unlocked user input area</v>
      </c>
      <c r="C35" s="158">
        <f t="shared" si="0"/>
        <v>0</v>
      </c>
      <c r="D35" s="158" t="str">
        <f t="shared" si="0"/>
        <v>This spreadsheet helps Coinbase crypto sellers make informed decisions about breaking even, how much they can take to the bank or reinvest, and how much profit or loss to expect.</v>
      </c>
      <c r="E35" s="158">
        <f t="shared" si="0"/>
        <v>0</v>
      </c>
      <c r="F35" s="158">
        <f t="shared" si="0"/>
        <v>0</v>
      </c>
      <c r="G35" s="158">
        <f t="shared" si="0"/>
        <v>0</v>
      </c>
      <c r="H35" s="158">
        <f t="shared" si="0"/>
        <v>0</v>
      </c>
      <c r="I35" s="158">
        <f t="shared" si="0"/>
        <v>0</v>
      </c>
      <c r="J35" s="158">
        <f t="shared" si="0"/>
        <v>0</v>
      </c>
      <c r="K35" s="158">
        <f t="shared" ref="K35:R39" si="2">K3</f>
        <v>0</v>
      </c>
      <c r="L35" s="158">
        <f t="shared" si="2"/>
        <v>0</v>
      </c>
      <c r="M35" s="158">
        <f t="shared" si="2"/>
        <v>0</v>
      </c>
      <c r="N35" s="158">
        <f t="shared" si="2"/>
        <v>0</v>
      </c>
      <c r="O35" s="158">
        <f t="shared" si="2"/>
        <v>0</v>
      </c>
      <c r="P35" s="158">
        <f t="shared" si="2"/>
        <v>0</v>
      </c>
      <c r="Q35" s="158">
        <f t="shared" si="2"/>
        <v>0</v>
      </c>
      <c r="R35" s="158">
        <f t="shared" si="2"/>
        <v>0</v>
      </c>
    </row>
    <row r="36" spans="1:19" ht="126" x14ac:dyDescent="0.35">
      <c r="A36" s="160">
        <v>4</v>
      </c>
      <c r="B36" s="158" t="str">
        <f t="shared" si="0"/>
        <v>Locked area</v>
      </c>
      <c r="C36" s="158">
        <f t="shared" si="0"/>
        <v>0</v>
      </c>
      <c r="D36" s="158" t="str">
        <f t="shared" si="0"/>
        <v>Calculations are unrounded and their values may extend to more than the decimal places shown.</v>
      </c>
      <c r="E36" s="158">
        <f t="shared" si="0"/>
        <v>0</v>
      </c>
      <c r="F36" s="158">
        <f t="shared" si="0"/>
        <v>0</v>
      </c>
      <c r="G36" s="158">
        <f t="shared" si="0"/>
        <v>0</v>
      </c>
      <c r="H36" s="158">
        <f t="shared" si="0"/>
        <v>0</v>
      </c>
      <c r="I36" s="158">
        <f t="shared" si="0"/>
        <v>0</v>
      </c>
      <c r="J36" s="158">
        <f t="shared" si="0"/>
        <v>0</v>
      </c>
      <c r="K36" s="158">
        <f t="shared" si="2"/>
        <v>0</v>
      </c>
      <c r="L36" s="158">
        <f t="shared" si="2"/>
        <v>0</v>
      </c>
      <c r="M36" s="158">
        <f t="shared" si="2"/>
        <v>0</v>
      </c>
      <c r="N36" s="158">
        <f t="shared" si="2"/>
        <v>0</v>
      </c>
      <c r="O36" s="158">
        <f t="shared" si="2"/>
        <v>0</v>
      </c>
      <c r="P36" s="158">
        <f t="shared" si="2"/>
        <v>0</v>
      </c>
      <c r="Q36" s="158">
        <f t="shared" si="2"/>
        <v>0</v>
      </c>
      <c r="R36" s="158">
        <f t="shared" si="2"/>
        <v>0</v>
      </c>
    </row>
    <row r="37" spans="1:19" ht="18" x14ac:dyDescent="0.35">
      <c r="A37" s="160">
        <v>5</v>
      </c>
      <c r="B37" s="158" t="str">
        <f t="shared" si="0"/>
        <v>Locked output area</v>
      </c>
      <c r="C37" s="158">
        <f t="shared" si="0"/>
        <v>0</v>
      </c>
      <c r="D37" s="158">
        <f t="shared" si="0"/>
        <v>0</v>
      </c>
      <c r="E37" s="158">
        <f t="shared" si="0"/>
        <v>0</v>
      </c>
      <c r="F37" s="158">
        <f t="shared" si="0"/>
        <v>0</v>
      </c>
      <c r="G37" s="158">
        <f t="shared" si="0"/>
        <v>0</v>
      </c>
      <c r="H37" s="158">
        <f t="shared" si="0"/>
        <v>0</v>
      </c>
      <c r="I37" s="158">
        <f t="shared" si="0"/>
        <v>0</v>
      </c>
      <c r="J37" s="158">
        <f t="shared" si="0"/>
        <v>0</v>
      </c>
      <c r="K37" s="158">
        <f t="shared" si="2"/>
        <v>0</v>
      </c>
      <c r="L37" s="158">
        <f t="shared" si="2"/>
        <v>0</v>
      </c>
      <c r="M37" s="158">
        <f t="shared" si="2"/>
        <v>0</v>
      </c>
      <c r="N37" s="158">
        <f t="shared" si="2"/>
        <v>0</v>
      </c>
      <c r="O37" s="158">
        <f t="shared" si="2"/>
        <v>0</v>
      </c>
      <c r="P37" s="158">
        <f t="shared" si="2"/>
        <v>0</v>
      </c>
      <c r="Q37" s="158">
        <f t="shared" si="2"/>
        <v>0</v>
      </c>
      <c r="R37" s="158">
        <f t="shared" si="2"/>
        <v>0</v>
      </c>
    </row>
    <row r="38" spans="1:19" ht="54" x14ac:dyDescent="0.35">
      <c r="A38" s="160">
        <v>6</v>
      </c>
      <c r="B38" s="158" t="str">
        <f t="shared" si="0"/>
        <v>Action message</v>
      </c>
      <c r="C38" s="158">
        <f t="shared" si="0"/>
        <v>0</v>
      </c>
      <c r="D38" s="158" t="str">
        <f t="shared" si="0"/>
        <v>© 2023 by Crypto Wiz Guy™</v>
      </c>
      <c r="E38" s="158">
        <f t="shared" si="0"/>
        <v>0</v>
      </c>
      <c r="F38" s="158">
        <f t="shared" si="0"/>
        <v>0</v>
      </c>
      <c r="G38" s="158">
        <f t="shared" si="0"/>
        <v>0</v>
      </c>
      <c r="H38" s="158">
        <f t="shared" si="0"/>
        <v>0</v>
      </c>
      <c r="I38" s="158">
        <f t="shared" si="0"/>
        <v>0</v>
      </c>
      <c r="J38" s="158">
        <f t="shared" si="0"/>
        <v>0</v>
      </c>
      <c r="K38" s="158">
        <f t="shared" si="2"/>
        <v>0</v>
      </c>
      <c r="L38" s="158">
        <f t="shared" si="2"/>
        <v>0</v>
      </c>
      <c r="M38" s="158">
        <f t="shared" si="2"/>
        <v>0</v>
      </c>
      <c r="N38" s="158">
        <f t="shared" si="2"/>
        <v>0</v>
      </c>
      <c r="O38" s="158">
        <f t="shared" si="2"/>
        <v>0</v>
      </c>
      <c r="P38" s="158">
        <f t="shared" si="2"/>
        <v>0</v>
      </c>
      <c r="Q38" s="158">
        <f t="shared" si="2"/>
        <v>0</v>
      </c>
      <c r="R38" s="158">
        <f t="shared" si="2"/>
        <v>0</v>
      </c>
    </row>
    <row r="39" spans="1:19" ht="36" x14ac:dyDescent="0.35">
      <c r="A39" s="160">
        <v>7</v>
      </c>
      <c r="B39" s="158">
        <f t="shared" si="0"/>
        <v>0</v>
      </c>
      <c r="C39" s="158">
        <f t="shared" si="0"/>
        <v>0</v>
      </c>
      <c r="D39" s="158" t="str">
        <f t="shared" si="0"/>
        <v>Ctrl+Shift+p to save PDF</v>
      </c>
      <c r="E39" s="158">
        <f t="shared" si="0"/>
        <v>0</v>
      </c>
      <c r="F39" s="158">
        <f t="shared" si="0"/>
        <v>0</v>
      </c>
      <c r="G39" s="158">
        <f t="shared" si="0"/>
        <v>0</v>
      </c>
      <c r="H39" s="158" t="str">
        <f t="shared" si="0"/>
        <v>Before sale, from row 14</v>
      </c>
      <c r="I39" s="158" t="str">
        <f t="shared" si="0"/>
        <v>Bought at</v>
      </c>
      <c r="J39" s="158" t="str">
        <f t="shared" si="0"/>
        <v>Difference</v>
      </c>
      <c r="K39" s="158" t="str">
        <f t="shared" si="2"/>
        <v>Change %</v>
      </c>
      <c r="L39" s="158">
        <f t="shared" si="2"/>
        <v>0</v>
      </c>
      <c r="M39" s="158">
        <f t="shared" si="2"/>
        <v>0</v>
      </c>
      <c r="N39" s="158">
        <f t="shared" si="2"/>
        <v>0</v>
      </c>
      <c r="O39" s="158">
        <f t="shared" si="2"/>
        <v>0</v>
      </c>
      <c r="P39" s="158">
        <f t="shared" si="2"/>
        <v>0</v>
      </c>
      <c r="Q39" s="158">
        <f t="shared" si="2"/>
        <v>0</v>
      </c>
      <c r="R39" s="158">
        <f t="shared" si="2"/>
        <v>0</v>
      </c>
    </row>
    <row r="40" spans="1:19" ht="18" x14ac:dyDescent="0.35">
      <c r="A40" s="160">
        <v>8</v>
      </c>
      <c r="B40" s="159" t="e">
        <f t="shared" ref="B40:J40" ca="1" si="3">_xlfn.FORMULATEXT(B8)</f>
        <v>#N/A</v>
      </c>
      <c r="C40" s="159" t="e">
        <f t="shared" ca="1" si="3"/>
        <v>#N/A</v>
      </c>
      <c r="D40" s="159" t="e">
        <f t="shared" ca="1" si="3"/>
        <v>#N/A</v>
      </c>
      <c r="E40" s="159" t="e">
        <f t="shared" ca="1" si="3"/>
        <v>#N/A</v>
      </c>
      <c r="F40" s="159" t="e">
        <f t="shared" ca="1" si="3"/>
        <v>#N/A</v>
      </c>
      <c r="G40" s="159" t="e">
        <f t="shared" ca="1" si="3"/>
        <v>#N/A</v>
      </c>
      <c r="H40" s="159" t="e">
        <f t="shared" ca="1" si="3"/>
        <v>#N/A</v>
      </c>
      <c r="I40" s="159" t="str">
        <f t="shared" ca="1" si="3"/>
        <v>=IF(F14=0,0,E14/F14)</v>
      </c>
      <c r="J40" s="159" t="str">
        <f t="shared" ca="1" si="3"/>
        <v>=+I14-I8</v>
      </c>
      <c r="K40" s="159" t="str">
        <f t="shared" ref="K40:K46" ca="1" si="4">_xlfn.FORMULATEXT(K8)</f>
        <v>=IF(I8=0,0,(I14-I8)/I8)</v>
      </c>
      <c r="L40" s="159" t="e">
        <f t="shared" ref="L40:R40" ca="1" si="5">_xlfn.FORMULATEXT(L8)</f>
        <v>#N/A</v>
      </c>
      <c r="M40" s="159" t="e">
        <f t="shared" ca="1" si="5"/>
        <v>#N/A</v>
      </c>
      <c r="N40" s="159" t="e">
        <f t="shared" ca="1" si="5"/>
        <v>#N/A</v>
      </c>
      <c r="O40" s="159" t="e">
        <f t="shared" ca="1" si="5"/>
        <v>#N/A</v>
      </c>
      <c r="P40" s="159" t="e">
        <f t="shared" ca="1" si="5"/>
        <v>#N/A</v>
      </c>
      <c r="Q40" s="159" t="e">
        <f t="shared" ca="1" si="5"/>
        <v>#N/A</v>
      </c>
      <c r="R40" s="159" t="e">
        <f t="shared" ca="1" si="5"/>
        <v>#N/A</v>
      </c>
    </row>
    <row r="41" spans="1:19" ht="18" x14ac:dyDescent="0.35">
      <c r="A41" s="160">
        <v>9</v>
      </c>
      <c r="B41" s="158">
        <f t="shared" ref="B41:J45" si="6">B9</f>
        <v>0</v>
      </c>
      <c r="C41" s="158">
        <f t="shared" si="6"/>
        <v>0</v>
      </c>
      <c r="D41" s="158">
        <f t="shared" si="6"/>
        <v>0</v>
      </c>
      <c r="E41" s="158">
        <f t="shared" si="6"/>
        <v>0</v>
      </c>
      <c r="F41" s="158">
        <f t="shared" si="6"/>
        <v>0</v>
      </c>
      <c r="G41" s="158">
        <f t="shared" si="6"/>
        <v>0</v>
      </c>
      <c r="H41" s="158">
        <f t="shared" si="6"/>
        <v>0</v>
      </c>
      <c r="I41" s="158">
        <f t="shared" si="6"/>
        <v>0</v>
      </c>
      <c r="J41" s="158">
        <f t="shared" si="6"/>
        <v>0</v>
      </c>
      <c r="K41" s="158">
        <f t="shared" ref="K41:R45" si="7">K9</f>
        <v>0</v>
      </c>
      <c r="L41" s="158">
        <f t="shared" si="7"/>
        <v>0</v>
      </c>
      <c r="M41" s="158">
        <f t="shared" si="7"/>
        <v>0</v>
      </c>
      <c r="N41" s="158">
        <f t="shared" si="7"/>
        <v>0</v>
      </c>
      <c r="O41" s="158">
        <f t="shared" si="7"/>
        <v>0</v>
      </c>
      <c r="P41" s="158">
        <f t="shared" si="7"/>
        <v>0</v>
      </c>
      <c r="Q41" s="158">
        <f t="shared" si="7"/>
        <v>0</v>
      </c>
      <c r="R41" s="158">
        <f t="shared" si="7"/>
        <v>0</v>
      </c>
    </row>
    <row r="42" spans="1:19" ht="72" x14ac:dyDescent="0.35">
      <c r="A42" s="160">
        <v>10</v>
      </c>
      <c r="B42" s="158">
        <f t="shared" si="6"/>
        <v>0</v>
      </c>
      <c r="C42" s="158">
        <f t="shared" si="6"/>
        <v>0</v>
      </c>
      <c r="D42" s="158" t="str">
        <f t="shared" si="6"/>
        <v>Required</v>
      </c>
      <c r="E42" s="158">
        <f t="shared" si="6"/>
        <v>0</v>
      </c>
      <c r="F42" s="158">
        <f t="shared" si="6"/>
        <v>0</v>
      </c>
      <c r="G42" s="158">
        <f t="shared" si="6"/>
        <v>0</v>
      </c>
      <c r="H42" s="158" t="str">
        <f t="shared" si="6"/>
        <v>Outputs to enter into Coinbase, Advanced Trading, Limit Sale, Post Only</v>
      </c>
      <c r="I42" s="158">
        <f t="shared" si="6"/>
        <v>0</v>
      </c>
      <c r="J42" s="158" t="str">
        <f t="shared" si="6"/>
        <v>Calculations</v>
      </c>
      <c r="K42" s="158">
        <f t="shared" si="7"/>
        <v>0</v>
      </c>
      <c r="L42" s="158" t="str">
        <f t="shared" si="7"/>
        <v xml:space="preserve"> Calculations, continued</v>
      </c>
      <c r="M42" s="158">
        <f t="shared" si="7"/>
        <v>0</v>
      </c>
      <c r="N42" s="158">
        <f t="shared" si="7"/>
        <v>0</v>
      </c>
      <c r="O42" s="158">
        <f t="shared" si="7"/>
        <v>0</v>
      </c>
      <c r="P42" s="158">
        <f t="shared" si="7"/>
        <v>0</v>
      </c>
      <c r="Q42" s="158">
        <f t="shared" si="7"/>
        <v>0</v>
      </c>
      <c r="R42" s="158">
        <f t="shared" si="7"/>
        <v>0</v>
      </c>
    </row>
    <row r="43" spans="1:19" ht="36" x14ac:dyDescent="0.35">
      <c r="A43" s="160">
        <v>11</v>
      </c>
      <c r="B43" s="158" t="str">
        <f t="shared" si="6"/>
        <v>Target type and value</v>
      </c>
      <c r="C43" s="158" t="str">
        <f t="shared" si="6"/>
        <v>Actual transaction date mm/dd/yyyy</v>
      </c>
      <c r="D43" s="158" t="str">
        <f t="shared" si="6"/>
        <v>Fee rate</v>
      </c>
      <c r="E43" s="158" t="str">
        <f t="shared" si="6"/>
        <v>Basis of coins on hand $</v>
      </c>
      <c r="F43" s="158" t="str">
        <f t="shared" si="6"/>
        <v>Coins on hand</v>
      </c>
      <c r="G43" s="158" t="str">
        <f t="shared" si="6"/>
        <v>% of coins to sell</v>
      </c>
      <c r="H43" s="158" t="str">
        <f t="shared" si="6"/>
        <v>Coins to sell</v>
      </c>
      <c r="I43" s="158" t="str">
        <f t="shared" si="6"/>
        <v>Selling price per full coin $</v>
      </c>
      <c r="J43" s="158" t="str">
        <f t="shared" si="6"/>
        <v>Net proceeds $ to bank or reinvest</v>
      </c>
      <c r="K43" s="158" t="str">
        <f t="shared" si="7"/>
        <v>Net profit (loss) $</v>
      </c>
      <c r="L43" s="158" t="str">
        <f t="shared" si="7"/>
        <v>Gross proceeds $</v>
      </c>
      <c r="M43" s="158" t="str">
        <f t="shared" si="7"/>
        <v>Variable selling fee $</v>
      </c>
      <c r="N43" s="158" t="str">
        <f t="shared" si="7"/>
        <v>Net proceeds % [ratio to this sell's basis]</v>
      </c>
      <c r="O43" s="158" t="str">
        <f t="shared" si="7"/>
        <v>Net profit (loss) % [ratio to this sell's basis]</v>
      </c>
      <c r="P43" s="158" t="str">
        <f t="shared" si="7"/>
        <v>Gain (loss) $ [excludes selling fees]</v>
      </c>
      <c r="Q43" s="158" t="str">
        <f t="shared" si="7"/>
        <v>Basis after sale $</v>
      </c>
      <c r="R43" s="158" t="str">
        <f t="shared" si="7"/>
        <v>Coins after sale</v>
      </c>
    </row>
    <row r="44" spans="1:19" ht="18" x14ac:dyDescent="0.35">
      <c r="A44" s="160">
        <v>12</v>
      </c>
      <c r="B44" s="158">
        <f t="shared" si="6"/>
        <v>0</v>
      </c>
      <c r="C44" s="158">
        <f t="shared" si="6"/>
        <v>0</v>
      </c>
      <c r="D44" s="158">
        <f t="shared" si="6"/>
        <v>0</v>
      </c>
      <c r="E44" s="158">
        <f t="shared" si="6"/>
        <v>0</v>
      </c>
      <c r="F44" s="158">
        <f t="shared" si="6"/>
        <v>0</v>
      </c>
      <c r="G44" s="158">
        <f t="shared" si="6"/>
        <v>0</v>
      </c>
      <c r="H44" s="158">
        <f t="shared" si="6"/>
        <v>0</v>
      </c>
      <c r="I44" s="158">
        <f t="shared" si="6"/>
        <v>0</v>
      </c>
      <c r="J44" s="158">
        <f t="shared" si="6"/>
        <v>0</v>
      </c>
      <c r="K44" s="158">
        <f t="shared" si="7"/>
        <v>0</v>
      </c>
      <c r="L44" s="158">
        <f t="shared" si="7"/>
        <v>0</v>
      </c>
      <c r="M44" s="158">
        <f t="shared" si="7"/>
        <v>0</v>
      </c>
      <c r="N44" s="158">
        <f t="shared" si="7"/>
        <v>0</v>
      </c>
      <c r="O44" s="158">
        <f t="shared" si="7"/>
        <v>0</v>
      </c>
      <c r="P44" s="158">
        <f t="shared" si="7"/>
        <v>0</v>
      </c>
      <c r="Q44" s="158">
        <f t="shared" si="7"/>
        <v>0</v>
      </c>
      <c r="R44" s="158">
        <f t="shared" si="7"/>
        <v>0</v>
      </c>
    </row>
    <row r="45" spans="1:19" ht="18" x14ac:dyDescent="0.35">
      <c r="A45" s="160">
        <v>13</v>
      </c>
      <c r="B45" s="158" t="str">
        <f t="shared" si="6"/>
        <v>1. Selling price $ target</v>
      </c>
      <c r="C45" s="158">
        <f t="shared" si="6"/>
        <v>0</v>
      </c>
      <c r="D45" s="158">
        <f t="shared" si="6"/>
        <v>0</v>
      </c>
      <c r="E45" s="158">
        <f t="shared" si="6"/>
        <v>0</v>
      </c>
      <c r="F45" s="158">
        <f t="shared" si="6"/>
        <v>0</v>
      </c>
      <c r="G45" s="158">
        <f t="shared" si="6"/>
        <v>0</v>
      </c>
      <c r="H45" s="158">
        <f t="shared" si="6"/>
        <v>0</v>
      </c>
      <c r="I45" s="158">
        <f t="shared" si="6"/>
        <v>0</v>
      </c>
      <c r="J45" s="158">
        <f t="shared" si="6"/>
        <v>0</v>
      </c>
      <c r="K45" s="158">
        <f t="shared" si="7"/>
        <v>0</v>
      </c>
      <c r="L45" s="158">
        <f t="shared" si="7"/>
        <v>0</v>
      </c>
      <c r="M45" s="158">
        <f t="shared" si="7"/>
        <v>0</v>
      </c>
      <c r="N45" s="158">
        <f t="shared" si="7"/>
        <v>0</v>
      </c>
      <c r="O45" s="158">
        <f t="shared" si="7"/>
        <v>0</v>
      </c>
      <c r="P45" s="158">
        <f t="shared" si="7"/>
        <v>0</v>
      </c>
      <c r="Q45" s="158">
        <f t="shared" si="7"/>
        <v>0</v>
      </c>
      <c r="R45" s="158">
        <f t="shared" si="7"/>
        <v>0</v>
      </c>
    </row>
    <row r="46" spans="1:19" ht="36" x14ac:dyDescent="0.35">
      <c r="A46" s="160">
        <v>14</v>
      </c>
      <c r="B46" s="159" t="e">
        <f t="shared" ref="B46:J46" ca="1" si="8">_xlfn.FORMULATEXT(B14)</f>
        <v>#N/A</v>
      </c>
      <c r="C46" s="159" t="e">
        <f t="shared" ca="1" si="8"/>
        <v>#N/A</v>
      </c>
      <c r="D46" s="159" t="e">
        <f t="shared" ca="1" si="8"/>
        <v>#N/A</v>
      </c>
      <c r="E46" s="159" t="e">
        <f t="shared" ca="1" si="8"/>
        <v>#N/A</v>
      </c>
      <c r="F46" s="159" t="e">
        <f t="shared" ca="1" si="8"/>
        <v>#N/A</v>
      </c>
      <c r="G46" s="159" t="e">
        <f t="shared" ca="1" si="8"/>
        <v>#N/A</v>
      </c>
      <c r="H46" s="159" t="str">
        <f t="shared" ca="1" si="8"/>
        <v>=+F14*G14</v>
      </c>
      <c r="I46" s="159" t="str">
        <f t="shared" ca="1" si="8"/>
        <v>=IF(B14=0,0,B14)</v>
      </c>
      <c r="J46" s="159" t="str">
        <f t="shared" ca="1" si="8"/>
        <v>=+L14-M14</v>
      </c>
      <c r="K46" s="159" t="str">
        <f t="shared" ca="1" si="4"/>
        <v>=+J14-(E14*G14)</v>
      </c>
      <c r="L46" s="159" t="str">
        <f t="shared" ref="L46:R46" ca="1" si="9">_xlfn.FORMULATEXT(L14)</f>
        <v>=+H14*I14</v>
      </c>
      <c r="M46" s="159" t="str">
        <f t="shared" ca="1" si="9"/>
        <v>=L14*D14</v>
      </c>
      <c r="N46" s="159" t="str">
        <f t="shared" ca="1" si="9"/>
        <v>=IF(OR(E14=0,G14=0),0,+J14/(E14*G14))</v>
      </c>
      <c r="O46" s="159" t="str">
        <f t="shared" ca="1" si="9"/>
        <v>=+IF(OR(B14=0,E14=0,G14=0),0,K14/(E14*G14))</v>
      </c>
      <c r="P46" s="159" t="str">
        <f t="shared" ca="1" si="9"/>
        <v>=(K14+M14)</v>
      </c>
      <c r="Q46" s="159" t="str">
        <f t="shared" ca="1" si="9"/>
        <v>=(E14*(1-G14))</v>
      </c>
      <c r="R46" s="159" t="str">
        <f t="shared" ca="1" si="9"/>
        <v>=(F14*(1-G14))</v>
      </c>
    </row>
    <row r="47" spans="1:19" ht="36" x14ac:dyDescent="0.35">
      <c r="A47" s="160">
        <v>15</v>
      </c>
      <c r="B47" s="158" t="str">
        <f t="shared" ref="B47:J49" si="10">B15</f>
        <v>Available to make &gt;0</v>
      </c>
      <c r="C47" s="158">
        <f t="shared" si="10"/>
        <v>0</v>
      </c>
      <c r="D47" s="158" t="str">
        <f t="shared" si="10"/>
        <v>Make &gt;=0 and &lt;=0.004</v>
      </c>
      <c r="E47" s="158" t="str">
        <f t="shared" si="10"/>
        <v>Make &gt;0</v>
      </c>
      <c r="F47" s="158" t="str">
        <f t="shared" si="10"/>
        <v>Make &gt;0</v>
      </c>
      <c r="G47" s="158" t="str">
        <f t="shared" si="10"/>
        <v>Make &gt;0 and &lt;=100%</v>
      </c>
      <c r="H47" s="158" t="str">
        <f t="shared" si="10"/>
        <v>Make &gt;= 0.000016</v>
      </c>
      <c r="I47" s="158" t="str">
        <f t="shared" si="10"/>
        <v>Make &gt; current online coin price</v>
      </c>
      <c r="J47" s="158" t="str">
        <f t="shared" si="10"/>
        <v>Make &gt;= 0.01</v>
      </c>
      <c r="K47" s="158">
        <f t="shared" ref="K47:R49" si="11">K15</f>
        <v>0</v>
      </c>
      <c r="L47" s="158">
        <f t="shared" si="11"/>
        <v>0</v>
      </c>
      <c r="M47" s="158">
        <f t="shared" si="11"/>
        <v>0</v>
      </c>
      <c r="N47" s="158">
        <f t="shared" si="11"/>
        <v>0</v>
      </c>
      <c r="O47" s="158">
        <f t="shared" si="11"/>
        <v>0</v>
      </c>
      <c r="P47" s="158">
        <f t="shared" si="11"/>
        <v>0</v>
      </c>
      <c r="Q47" s="158">
        <f t="shared" si="11"/>
        <v>0</v>
      </c>
      <c r="R47" s="158">
        <f t="shared" si="11"/>
        <v>0</v>
      </c>
    </row>
    <row r="48" spans="1:19" ht="18" x14ac:dyDescent="0.35">
      <c r="A48" s="160">
        <v>16</v>
      </c>
      <c r="B48" s="158">
        <f t="shared" si="10"/>
        <v>0</v>
      </c>
      <c r="C48" s="158">
        <f t="shared" si="10"/>
        <v>0</v>
      </c>
      <c r="D48" s="158">
        <f t="shared" si="10"/>
        <v>0</v>
      </c>
      <c r="E48" s="158">
        <f t="shared" si="10"/>
        <v>0</v>
      </c>
      <c r="F48" s="158">
        <f t="shared" si="10"/>
        <v>0</v>
      </c>
      <c r="G48" s="158">
        <f t="shared" si="10"/>
        <v>0</v>
      </c>
      <c r="H48" s="158">
        <f t="shared" si="10"/>
        <v>0</v>
      </c>
      <c r="I48" s="158">
        <f t="shared" si="10"/>
        <v>0</v>
      </c>
      <c r="J48" s="158">
        <f t="shared" si="10"/>
        <v>0</v>
      </c>
      <c r="K48" s="158">
        <f t="shared" si="11"/>
        <v>0</v>
      </c>
      <c r="L48" s="158">
        <f t="shared" si="11"/>
        <v>0</v>
      </c>
      <c r="M48" s="158">
        <f t="shared" si="11"/>
        <v>0</v>
      </c>
      <c r="N48" s="158">
        <f t="shared" si="11"/>
        <v>0</v>
      </c>
      <c r="O48" s="158">
        <f t="shared" si="11"/>
        <v>0</v>
      </c>
      <c r="P48" s="158">
        <f t="shared" si="11"/>
        <v>0</v>
      </c>
      <c r="Q48" s="158">
        <f t="shared" si="11"/>
        <v>0</v>
      </c>
      <c r="R48" s="158">
        <f t="shared" si="11"/>
        <v>0</v>
      </c>
    </row>
    <row r="49" spans="1:18" ht="36" x14ac:dyDescent="0.35">
      <c r="A49" s="160">
        <v>17</v>
      </c>
      <c r="B49" s="158" t="str">
        <f t="shared" si="10"/>
        <v>2. Net proceeds $ target to bank or re-invest</v>
      </c>
      <c r="C49" s="158">
        <f t="shared" si="10"/>
        <v>0</v>
      </c>
      <c r="D49" s="158">
        <f t="shared" si="10"/>
        <v>0</v>
      </c>
      <c r="E49" s="158">
        <f t="shared" si="10"/>
        <v>0</v>
      </c>
      <c r="F49" s="158">
        <f t="shared" si="10"/>
        <v>0</v>
      </c>
      <c r="G49" s="158">
        <f t="shared" si="10"/>
        <v>0</v>
      </c>
      <c r="H49" s="158">
        <f t="shared" si="10"/>
        <v>0</v>
      </c>
      <c r="I49" s="158">
        <f t="shared" si="10"/>
        <v>0</v>
      </c>
      <c r="J49" s="158">
        <f t="shared" si="10"/>
        <v>0</v>
      </c>
      <c r="K49" s="158">
        <f t="shared" si="11"/>
        <v>0</v>
      </c>
      <c r="L49" s="158">
        <f t="shared" si="11"/>
        <v>0</v>
      </c>
      <c r="M49" s="158">
        <f t="shared" si="11"/>
        <v>0</v>
      </c>
      <c r="N49" s="158">
        <f t="shared" si="11"/>
        <v>0</v>
      </c>
      <c r="O49" s="158">
        <f t="shared" si="11"/>
        <v>0</v>
      </c>
      <c r="P49" s="158">
        <f t="shared" si="11"/>
        <v>0</v>
      </c>
      <c r="Q49" s="158">
        <f t="shared" si="11"/>
        <v>0</v>
      </c>
      <c r="R49" s="158">
        <f t="shared" si="11"/>
        <v>0</v>
      </c>
    </row>
    <row r="50" spans="1:18" ht="54" x14ac:dyDescent="0.35">
      <c r="A50" s="160">
        <v>18</v>
      </c>
      <c r="B50" s="159" t="e">
        <f t="shared" ref="B50:J50" ca="1" si="12">_xlfn.FORMULATEXT(B18)</f>
        <v>#N/A</v>
      </c>
      <c r="C50" s="159" t="str">
        <f t="shared" ca="1" si="12"/>
        <v>=IF($C$14=0,"",$C$14)</v>
      </c>
      <c r="D50" s="159" t="str">
        <f t="shared" ca="1" si="12"/>
        <v>=($D$14)</v>
      </c>
      <c r="E50" s="159" t="str">
        <f t="shared" ca="1" si="12"/>
        <v>=($E$14)</v>
      </c>
      <c r="F50" s="159" t="str">
        <f t="shared" ca="1" si="12"/>
        <v>=($F$14)</v>
      </c>
      <c r="G50" s="159" t="str">
        <f t="shared" ca="1" si="12"/>
        <v>=($G$14)</v>
      </c>
      <c r="H50" s="159" t="str">
        <f t="shared" ca="1" si="12"/>
        <v>=(F18*G18)</v>
      </c>
      <c r="I50" s="159" t="str">
        <f t="shared" ca="1" si="12"/>
        <v>=IF(OR($F18=0,$G18=0),0,((J18+M18)/(F18*G18)))</v>
      </c>
      <c r="J50" s="159" t="str">
        <f t="shared" ca="1" si="12"/>
        <v>=IF(B18=0,0,B18)</v>
      </c>
      <c r="K50" s="159" t="str">
        <f t="shared" ref="K50:K62" ca="1" si="13">_xlfn.FORMULATEXT(K18)</f>
        <v>=+J18-(E18*G18)</v>
      </c>
      <c r="L50" s="159" t="str">
        <f t="shared" ref="L50:R50" ca="1" si="14">_xlfn.FORMULATEXT(L18)</f>
        <v>=+H18*I18</v>
      </c>
      <c r="M50" s="159" t="str">
        <f t="shared" ca="1" si="14"/>
        <v>=(J18*D18)/(1-D18)</v>
      </c>
      <c r="N50" s="159" t="str">
        <f t="shared" ca="1" si="14"/>
        <v>=IF(OR(E18=0,G18=0),0,+J18/(E18*G18))</v>
      </c>
      <c r="O50" s="159" t="str">
        <f t="shared" ca="1" si="14"/>
        <v>=+IF(OR(B18=0,E18=0,G18=0),0,K18/(E18*G18))</v>
      </c>
      <c r="P50" s="159" t="str">
        <f t="shared" ca="1" si="14"/>
        <v>=(K18+M18)</v>
      </c>
      <c r="Q50" s="159" t="str">
        <f t="shared" ca="1" si="14"/>
        <v>=(E18*(1-G18))</v>
      </c>
      <c r="R50" s="159" t="str">
        <f t="shared" ca="1" si="14"/>
        <v>=(F18*(1-G18))</v>
      </c>
    </row>
    <row r="51" spans="1:18" ht="36" x14ac:dyDescent="0.35">
      <c r="A51" s="160">
        <v>19</v>
      </c>
      <c r="B51" s="158" t="str">
        <f t="shared" ref="B51:J53" si="15">B19</f>
        <v>Available to make &gt;0</v>
      </c>
      <c r="C51" s="158">
        <f t="shared" si="15"/>
        <v>0</v>
      </c>
      <c r="D51" s="158">
        <f t="shared" si="15"/>
        <v>0</v>
      </c>
      <c r="E51" s="158">
        <f t="shared" si="15"/>
        <v>0</v>
      </c>
      <c r="F51" s="158">
        <f t="shared" si="15"/>
        <v>0</v>
      </c>
      <c r="G51" s="158">
        <f t="shared" si="15"/>
        <v>0</v>
      </c>
      <c r="H51" s="158" t="str">
        <f t="shared" si="15"/>
        <v>Make &gt;= 0.000016</v>
      </c>
      <c r="I51" s="158" t="str">
        <f t="shared" si="15"/>
        <v>Make &gt; current online coin price</v>
      </c>
      <c r="J51" s="158" t="str">
        <f t="shared" si="15"/>
        <v>Make &gt;= 0.01</v>
      </c>
      <c r="K51" s="158">
        <f t="shared" ref="K51:R53" si="16">K19</f>
        <v>0</v>
      </c>
      <c r="L51" s="158">
        <f t="shared" si="16"/>
        <v>0</v>
      </c>
      <c r="M51" s="158">
        <f t="shared" si="16"/>
        <v>0</v>
      </c>
      <c r="N51" s="158">
        <f t="shared" si="16"/>
        <v>0</v>
      </c>
      <c r="O51" s="158">
        <f t="shared" si="16"/>
        <v>0</v>
      </c>
      <c r="P51" s="158">
        <f t="shared" si="16"/>
        <v>0</v>
      </c>
      <c r="Q51" s="158">
        <f t="shared" si="16"/>
        <v>0</v>
      </c>
      <c r="R51" s="158">
        <f t="shared" si="16"/>
        <v>0</v>
      </c>
    </row>
    <row r="52" spans="1:18" ht="18" x14ac:dyDescent="0.35">
      <c r="A52" s="160">
        <v>20</v>
      </c>
      <c r="B52" s="158">
        <f t="shared" si="15"/>
        <v>0</v>
      </c>
      <c r="C52" s="158">
        <f t="shared" si="15"/>
        <v>0</v>
      </c>
      <c r="D52" s="158">
        <f t="shared" si="15"/>
        <v>0</v>
      </c>
      <c r="E52" s="158">
        <f t="shared" si="15"/>
        <v>0</v>
      </c>
      <c r="F52" s="158">
        <f t="shared" si="15"/>
        <v>0</v>
      </c>
      <c r="G52" s="158">
        <f t="shared" si="15"/>
        <v>0</v>
      </c>
      <c r="H52" s="158">
        <f t="shared" si="15"/>
        <v>0</v>
      </c>
      <c r="I52" s="158">
        <f t="shared" si="15"/>
        <v>0</v>
      </c>
      <c r="J52" s="158">
        <f t="shared" si="15"/>
        <v>0</v>
      </c>
      <c r="K52" s="158">
        <f t="shared" si="16"/>
        <v>0</v>
      </c>
      <c r="L52" s="158">
        <f t="shared" si="16"/>
        <v>0</v>
      </c>
      <c r="M52" s="158">
        <f t="shared" si="16"/>
        <v>0</v>
      </c>
      <c r="N52" s="158">
        <f t="shared" si="16"/>
        <v>0</v>
      </c>
      <c r="O52" s="158">
        <f t="shared" si="16"/>
        <v>0</v>
      </c>
      <c r="P52" s="158">
        <f t="shared" si="16"/>
        <v>0</v>
      </c>
      <c r="Q52" s="158">
        <f t="shared" si="16"/>
        <v>0</v>
      </c>
      <c r="R52" s="158">
        <f t="shared" si="16"/>
        <v>0</v>
      </c>
    </row>
    <row r="53" spans="1:18" ht="36" x14ac:dyDescent="0.35">
      <c r="A53" s="160">
        <v>21</v>
      </c>
      <c r="B53" s="158" t="str">
        <f t="shared" si="15"/>
        <v>3. Net proceeds % target [ratio to this sell's basis]</v>
      </c>
      <c r="C53" s="158">
        <f t="shared" si="15"/>
        <v>0</v>
      </c>
      <c r="D53" s="158">
        <f t="shared" si="15"/>
        <v>0</v>
      </c>
      <c r="E53" s="158">
        <f t="shared" si="15"/>
        <v>0</v>
      </c>
      <c r="F53" s="158">
        <f t="shared" si="15"/>
        <v>0</v>
      </c>
      <c r="G53" s="158">
        <f t="shared" si="15"/>
        <v>0</v>
      </c>
      <c r="H53" s="158">
        <f t="shared" si="15"/>
        <v>0</v>
      </c>
      <c r="I53" s="158">
        <f t="shared" si="15"/>
        <v>0</v>
      </c>
      <c r="J53" s="158">
        <f t="shared" si="15"/>
        <v>0</v>
      </c>
      <c r="K53" s="158">
        <f t="shared" si="16"/>
        <v>0</v>
      </c>
      <c r="L53" s="158">
        <f t="shared" si="16"/>
        <v>0</v>
      </c>
      <c r="M53" s="158">
        <f t="shared" si="16"/>
        <v>0</v>
      </c>
      <c r="N53" s="158">
        <f t="shared" si="16"/>
        <v>0</v>
      </c>
      <c r="O53" s="158">
        <f t="shared" si="16"/>
        <v>0</v>
      </c>
      <c r="P53" s="158">
        <f t="shared" si="16"/>
        <v>0</v>
      </c>
      <c r="Q53" s="158">
        <f t="shared" si="16"/>
        <v>0</v>
      </c>
      <c r="R53" s="158">
        <f t="shared" si="16"/>
        <v>0</v>
      </c>
    </row>
    <row r="54" spans="1:18" ht="54" x14ac:dyDescent="0.35">
      <c r="A54" s="160">
        <v>22</v>
      </c>
      <c r="B54" s="159" t="e">
        <f t="shared" ref="B54:J54" ca="1" si="17">_xlfn.FORMULATEXT(B22)</f>
        <v>#N/A</v>
      </c>
      <c r="C54" s="159" t="str">
        <f t="shared" ca="1" si="17"/>
        <v>=IF($C$14=0,"",$C$14)</v>
      </c>
      <c r="D54" s="159" t="str">
        <f t="shared" ca="1" si="17"/>
        <v>=($D$14)</v>
      </c>
      <c r="E54" s="159" t="str">
        <f t="shared" ca="1" si="17"/>
        <v>=($E$14)</v>
      </c>
      <c r="F54" s="159" t="str">
        <f t="shared" ca="1" si="17"/>
        <v>=($F$14)</v>
      </c>
      <c r="G54" s="159" t="str">
        <f t="shared" ca="1" si="17"/>
        <v>=+$G$14</v>
      </c>
      <c r="H54" s="159" t="str">
        <f t="shared" ca="1" si="17"/>
        <v>=(F22*G22)</v>
      </c>
      <c r="I54" s="159" t="str">
        <f t="shared" ca="1" si="17"/>
        <v>=IF(OR($F22=0,$G22=0),0,((J22+M22)/(F22*G22)))</v>
      </c>
      <c r="J54" s="159" t="str">
        <f t="shared" ca="1" si="17"/>
        <v>=N22*(E22*G22)</v>
      </c>
      <c r="K54" s="159" t="str">
        <f t="shared" ca="1" si="13"/>
        <v>=+J22-(E22*G22)</v>
      </c>
      <c r="L54" s="159" t="str">
        <f t="shared" ref="L54:R54" ca="1" si="18">_xlfn.FORMULATEXT(L22)</f>
        <v>=+I22*H22</v>
      </c>
      <c r="M54" s="159" t="str">
        <f t="shared" ca="1" si="18"/>
        <v>=(J22*D22)/(1-D22)</v>
      </c>
      <c r="N54" s="159" t="str">
        <f t="shared" ca="1" si="18"/>
        <v>=IF(B22=0,0,B22)</v>
      </c>
      <c r="O54" s="159" t="str">
        <f t="shared" ca="1" si="18"/>
        <v>=+IF(OR(B22=0,E22=0,G22=0),0,K22/(E22*G22))</v>
      </c>
      <c r="P54" s="159" t="str">
        <f t="shared" ca="1" si="18"/>
        <v>=(K22+M22)</v>
      </c>
      <c r="Q54" s="159" t="str">
        <f t="shared" ca="1" si="18"/>
        <v>=(E22*(1-G22))</v>
      </c>
      <c r="R54" s="159" t="str">
        <f t="shared" ca="1" si="18"/>
        <v>=(F22*(1-G22))</v>
      </c>
    </row>
    <row r="55" spans="1:18" ht="36" x14ac:dyDescent="0.35">
      <c r="A55" s="160">
        <v>23</v>
      </c>
      <c r="B55" s="158" t="str">
        <f t="shared" ref="B55:J57" si="19">B23</f>
        <v>Available to make &gt;0</v>
      </c>
      <c r="C55" s="158">
        <f t="shared" si="19"/>
        <v>0</v>
      </c>
      <c r="D55" s="158">
        <f t="shared" si="19"/>
        <v>0</v>
      </c>
      <c r="E55" s="158">
        <f t="shared" si="19"/>
        <v>0</v>
      </c>
      <c r="F55" s="158">
        <f t="shared" si="19"/>
        <v>0</v>
      </c>
      <c r="G55" s="158">
        <f t="shared" si="19"/>
        <v>0</v>
      </c>
      <c r="H55" s="158" t="str">
        <f t="shared" si="19"/>
        <v>Make &gt;= 0.000016</v>
      </c>
      <c r="I55" s="158" t="str">
        <f t="shared" si="19"/>
        <v>Make &gt; current online coin price</v>
      </c>
      <c r="J55" s="158" t="str">
        <f t="shared" si="19"/>
        <v>Make &gt;= 0.01</v>
      </c>
      <c r="K55" s="158">
        <f t="shared" ref="K55:R57" si="20">K23</f>
        <v>0</v>
      </c>
      <c r="L55" s="158">
        <f t="shared" si="20"/>
        <v>0</v>
      </c>
      <c r="M55" s="158">
        <f t="shared" si="20"/>
        <v>0</v>
      </c>
      <c r="N55" s="158">
        <f t="shared" si="20"/>
        <v>0</v>
      </c>
      <c r="O55" s="158">
        <f t="shared" si="20"/>
        <v>0</v>
      </c>
      <c r="P55" s="158">
        <f t="shared" si="20"/>
        <v>0</v>
      </c>
      <c r="Q55" s="158">
        <f t="shared" si="20"/>
        <v>0</v>
      </c>
      <c r="R55" s="158">
        <f t="shared" si="20"/>
        <v>0</v>
      </c>
    </row>
    <row r="56" spans="1:18" ht="18" x14ac:dyDescent="0.35">
      <c r="A56" s="160">
        <v>24</v>
      </c>
      <c r="B56" s="158">
        <f t="shared" si="19"/>
        <v>0</v>
      </c>
      <c r="C56" s="158">
        <f t="shared" si="19"/>
        <v>0</v>
      </c>
      <c r="D56" s="158">
        <f t="shared" si="19"/>
        <v>0</v>
      </c>
      <c r="E56" s="158">
        <f t="shared" si="19"/>
        <v>0</v>
      </c>
      <c r="F56" s="158">
        <f t="shared" si="19"/>
        <v>0</v>
      </c>
      <c r="G56" s="158">
        <f t="shared" si="19"/>
        <v>0</v>
      </c>
      <c r="H56" s="158">
        <f t="shared" si="19"/>
        <v>0</v>
      </c>
      <c r="I56" s="158">
        <f t="shared" si="19"/>
        <v>0</v>
      </c>
      <c r="J56" s="158">
        <f t="shared" si="19"/>
        <v>0</v>
      </c>
      <c r="K56" s="158">
        <f t="shared" si="20"/>
        <v>0</v>
      </c>
      <c r="L56" s="158">
        <f t="shared" si="20"/>
        <v>0</v>
      </c>
      <c r="M56" s="158">
        <f t="shared" si="20"/>
        <v>0</v>
      </c>
      <c r="N56" s="158">
        <f t="shared" si="20"/>
        <v>0</v>
      </c>
      <c r="O56" s="158">
        <f t="shared" si="20"/>
        <v>0</v>
      </c>
      <c r="P56" s="158">
        <f t="shared" si="20"/>
        <v>0</v>
      </c>
      <c r="Q56" s="158">
        <f t="shared" si="20"/>
        <v>0</v>
      </c>
      <c r="R56" s="158">
        <f t="shared" si="20"/>
        <v>0</v>
      </c>
    </row>
    <row r="57" spans="1:18" ht="18" x14ac:dyDescent="0.35">
      <c r="A57" s="160">
        <v>25</v>
      </c>
      <c r="B57" s="158" t="str">
        <f t="shared" si="19"/>
        <v>4. Net profit (loss) $ target</v>
      </c>
      <c r="C57" s="158">
        <f t="shared" si="19"/>
        <v>0</v>
      </c>
      <c r="D57" s="158">
        <f t="shared" si="19"/>
        <v>0</v>
      </c>
      <c r="E57" s="158">
        <f t="shared" si="19"/>
        <v>0</v>
      </c>
      <c r="F57" s="158">
        <f t="shared" si="19"/>
        <v>0</v>
      </c>
      <c r="G57" s="158">
        <f t="shared" si="19"/>
        <v>0</v>
      </c>
      <c r="H57" s="158">
        <f t="shared" si="19"/>
        <v>0</v>
      </c>
      <c r="I57" s="158">
        <f t="shared" si="19"/>
        <v>0</v>
      </c>
      <c r="J57" s="158">
        <f t="shared" si="19"/>
        <v>0</v>
      </c>
      <c r="K57" s="158">
        <f t="shared" si="20"/>
        <v>0</v>
      </c>
      <c r="L57" s="158">
        <f t="shared" si="20"/>
        <v>0</v>
      </c>
      <c r="M57" s="158">
        <f t="shared" si="20"/>
        <v>0</v>
      </c>
      <c r="N57" s="158">
        <f t="shared" si="20"/>
        <v>0</v>
      </c>
      <c r="O57" s="158">
        <f t="shared" si="20"/>
        <v>0</v>
      </c>
      <c r="P57" s="158">
        <f t="shared" si="20"/>
        <v>0</v>
      </c>
      <c r="Q57" s="158">
        <f t="shared" si="20"/>
        <v>0</v>
      </c>
      <c r="R57" s="158">
        <f t="shared" si="20"/>
        <v>0</v>
      </c>
    </row>
    <row r="58" spans="1:18" ht="54" x14ac:dyDescent="0.35">
      <c r="A58" s="160">
        <v>26</v>
      </c>
      <c r="B58" s="159" t="e">
        <f t="shared" ref="B58:J58" ca="1" si="21">_xlfn.FORMULATEXT(B26)</f>
        <v>#N/A</v>
      </c>
      <c r="C58" s="159" t="str">
        <f t="shared" ca="1" si="21"/>
        <v>=IF($C$14=0,"",$C$14)</v>
      </c>
      <c r="D58" s="159" t="str">
        <f t="shared" ca="1" si="21"/>
        <v>=$D$14</v>
      </c>
      <c r="E58" s="159" t="str">
        <f t="shared" ca="1" si="21"/>
        <v>=$E$14</v>
      </c>
      <c r="F58" s="159" t="str">
        <f t="shared" ca="1" si="21"/>
        <v>=$F$14</v>
      </c>
      <c r="G58" s="159" t="str">
        <f t="shared" ca="1" si="21"/>
        <v>=$G$14</v>
      </c>
      <c r="H58" s="159" t="str">
        <f t="shared" ca="1" si="21"/>
        <v>=F26*G26</v>
      </c>
      <c r="I58" s="159" t="str">
        <f t="shared" ca="1" si="21"/>
        <v>=IF(OR($F26=0,$G26=0),0,((J26+M26)/(F26*G26)))</v>
      </c>
      <c r="J58" s="159" t="str">
        <f t="shared" ca="1" si="21"/>
        <v>=K26+(E26*G26)</v>
      </c>
      <c r="K58" s="159" t="str">
        <f t="shared" ca="1" si="13"/>
        <v>=IF(B26=0,0,B26)</v>
      </c>
      <c r="L58" s="159" t="str">
        <f t="shared" ref="L58:R58" ca="1" si="22">_xlfn.FORMULATEXT(L26)</f>
        <v>=F26*G26*I26</v>
      </c>
      <c r="M58" s="159" t="str">
        <f t="shared" ca="1" si="22"/>
        <v>=(J26*D26)/(1-D26)</v>
      </c>
      <c r="N58" s="159" t="str">
        <f t="shared" ca="1" si="22"/>
        <v>=IF(OR(E26=0,G26=0),0,+J26/(E26*G26))</v>
      </c>
      <c r="O58" s="159" t="str">
        <f t="shared" ca="1" si="22"/>
        <v>=+IF(OR(B26=0,E26=0,G26=0),0,K26/(E26*G26))</v>
      </c>
      <c r="P58" s="159" t="str">
        <f t="shared" ca="1" si="22"/>
        <v>=K26+M26</v>
      </c>
      <c r="Q58" s="159" t="str">
        <f t="shared" ca="1" si="22"/>
        <v>=E26*(1-G26)</v>
      </c>
      <c r="R58" s="159" t="str">
        <f t="shared" ca="1" si="22"/>
        <v>=F26*(1-G26)</v>
      </c>
    </row>
    <row r="59" spans="1:18" ht="36" x14ac:dyDescent="0.35">
      <c r="A59" s="160">
        <v>27</v>
      </c>
      <c r="B59" s="158" t="str">
        <f t="shared" ref="B59:J61" si="23">B27</f>
        <v>Available to make &lt;&gt;0</v>
      </c>
      <c r="C59" s="158">
        <f t="shared" si="23"/>
        <v>0</v>
      </c>
      <c r="D59" s="158">
        <f t="shared" si="23"/>
        <v>0</v>
      </c>
      <c r="E59" s="158">
        <f t="shared" si="23"/>
        <v>0</v>
      </c>
      <c r="F59" s="158">
        <f t="shared" si="23"/>
        <v>0</v>
      </c>
      <c r="G59" s="158">
        <f t="shared" si="23"/>
        <v>0</v>
      </c>
      <c r="H59" s="158" t="str">
        <f t="shared" si="23"/>
        <v>Make &gt;= 0.000016</v>
      </c>
      <c r="I59" s="158" t="str">
        <f t="shared" si="23"/>
        <v>Make &gt; current online coin price</v>
      </c>
      <c r="J59" s="158" t="str">
        <f t="shared" si="23"/>
        <v>Make &gt;= 0.01</v>
      </c>
      <c r="K59" s="158">
        <f t="shared" ref="K59:R61" si="24">K27</f>
        <v>0</v>
      </c>
      <c r="L59" s="158">
        <f t="shared" si="24"/>
        <v>0</v>
      </c>
      <c r="M59" s="158">
        <f t="shared" si="24"/>
        <v>0</v>
      </c>
      <c r="N59" s="158">
        <f t="shared" si="24"/>
        <v>0</v>
      </c>
      <c r="O59" s="158">
        <f t="shared" si="24"/>
        <v>0</v>
      </c>
      <c r="P59" s="158">
        <f t="shared" si="24"/>
        <v>0</v>
      </c>
      <c r="Q59" s="158">
        <f t="shared" si="24"/>
        <v>0</v>
      </c>
      <c r="R59" s="158">
        <f t="shared" si="24"/>
        <v>0</v>
      </c>
    </row>
    <row r="60" spans="1:18" ht="18" x14ac:dyDescent="0.35">
      <c r="A60" s="160">
        <v>28</v>
      </c>
      <c r="B60" s="158">
        <f t="shared" si="23"/>
        <v>0</v>
      </c>
      <c r="C60" s="158">
        <f t="shared" si="23"/>
        <v>0</v>
      </c>
      <c r="D60" s="158">
        <f t="shared" si="23"/>
        <v>0</v>
      </c>
      <c r="E60" s="158">
        <f t="shared" si="23"/>
        <v>0</v>
      </c>
      <c r="F60" s="158">
        <f t="shared" si="23"/>
        <v>0</v>
      </c>
      <c r="G60" s="158">
        <f t="shared" si="23"/>
        <v>0</v>
      </c>
      <c r="H60" s="158">
        <f t="shared" si="23"/>
        <v>0</v>
      </c>
      <c r="I60" s="158">
        <f t="shared" si="23"/>
        <v>0</v>
      </c>
      <c r="J60" s="158">
        <f t="shared" si="23"/>
        <v>0</v>
      </c>
      <c r="K60" s="158">
        <f t="shared" si="24"/>
        <v>0</v>
      </c>
      <c r="L60" s="158">
        <f t="shared" si="24"/>
        <v>0</v>
      </c>
      <c r="M60" s="158">
        <f t="shared" si="24"/>
        <v>0</v>
      </c>
      <c r="N60" s="158">
        <f t="shared" si="24"/>
        <v>0</v>
      </c>
      <c r="O60" s="158">
        <f t="shared" si="24"/>
        <v>0</v>
      </c>
      <c r="P60" s="158">
        <f t="shared" si="24"/>
        <v>0</v>
      </c>
      <c r="Q60" s="158">
        <f t="shared" si="24"/>
        <v>0</v>
      </c>
      <c r="R60" s="158">
        <f t="shared" si="24"/>
        <v>0</v>
      </c>
    </row>
    <row r="61" spans="1:18" ht="36" x14ac:dyDescent="0.35">
      <c r="A61" s="160">
        <v>29</v>
      </c>
      <c r="B61" s="158" t="str">
        <f t="shared" si="23"/>
        <v>5. Net profit (loss) % target [ratio to this sell's basis]</v>
      </c>
      <c r="C61" s="158">
        <f t="shared" si="23"/>
        <v>0</v>
      </c>
      <c r="D61" s="158">
        <f t="shared" si="23"/>
        <v>0</v>
      </c>
      <c r="E61" s="158">
        <f t="shared" si="23"/>
        <v>0</v>
      </c>
      <c r="F61" s="158">
        <f t="shared" si="23"/>
        <v>0</v>
      </c>
      <c r="G61" s="158">
        <f t="shared" si="23"/>
        <v>0</v>
      </c>
      <c r="H61" s="158">
        <f t="shared" si="23"/>
        <v>0</v>
      </c>
      <c r="I61" s="158">
        <f t="shared" si="23"/>
        <v>0</v>
      </c>
      <c r="J61" s="158">
        <f t="shared" si="23"/>
        <v>0</v>
      </c>
      <c r="K61" s="158">
        <f t="shared" si="24"/>
        <v>0</v>
      </c>
      <c r="L61" s="158">
        <f t="shared" si="24"/>
        <v>0</v>
      </c>
      <c r="M61" s="158">
        <f t="shared" si="24"/>
        <v>0</v>
      </c>
      <c r="N61" s="158">
        <f t="shared" si="24"/>
        <v>0</v>
      </c>
      <c r="O61" s="158">
        <f t="shared" si="24"/>
        <v>0</v>
      </c>
      <c r="P61" s="158">
        <f t="shared" si="24"/>
        <v>0</v>
      </c>
      <c r="Q61" s="158">
        <f t="shared" si="24"/>
        <v>0</v>
      </c>
      <c r="R61" s="158">
        <f t="shared" si="24"/>
        <v>0</v>
      </c>
    </row>
    <row r="62" spans="1:18" ht="54" x14ac:dyDescent="0.35">
      <c r="A62" s="160">
        <v>30</v>
      </c>
      <c r="B62" s="159" t="e">
        <f t="shared" ref="B62:J62" ca="1" si="25">_xlfn.FORMULATEXT(B30)</f>
        <v>#N/A</v>
      </c>
      <c r="C62" s="159" t="str">
        <f t="shared" ca="1" si="25"/>
        <v>=IF($C$14=0,"",$C$14)</v>
      </c>
      <c r="D62" s="159" t="str">
        <f t="shared" ca="1" si="25"/>
        <v>=$D$14</v>
      </c>
      <c r="E62" s="159" t="str">
        <f t="shared" ca="1" si="25"/>
        <v>=$E$14</v>
      </c>
      <c r="F62" s="159" t="str">
        <f t="shared" ca="1" si="25"/>
        <v>=$F$14</v>
      </c>
      <c r="G62" s="159" t="str">
        <f t="shared" ca="1" si="25"/>
        <v>=$G$14</v>
      </c>
      <c r="H62" s="159" t="str">
        <f t="shared" ca="1" si="25"/>
        <v>=F30*G30</v>
      </c>
      <c r="I62" s="159" t="str">
        <f t="shared" ca="1" si="25"/>
        <v>=IF(OR($F30=0,$G30=0),0,((J30+M30)/(F30*G30)))</v>
      </c>
      <c r="J62" s="159" t="str">
        <f t="shared" ca="1" si="25"/>
        <v>=K30+(E30*G30)</v>
      </c>
      <c r="K62" s="159" t="str">
        <f t="shared" ca="1" si="13"/>
        <v>=(E30*G30)*O30</v>
      </c>
      <c r="L62" s="159" t="str">
        <f t="shared" ref="L62:R62" ca="1" si="26">_xlfn.FORMULATEXT(L30)</f>
        <v>=F30*G30*I30</v>
      </c>
      <c r="M62" s="159" t="str">
        <f t="shared" ca="1" si="26"/>
        <v>=(J30*D30)/(1-D30)</v>
      </c>
      <c r="N62" s="159" t="str">
        <f t="shared" ca="1" si="26"/>
        <v>=IF(OR(E30=0,G30=0),0,+J30/(E30*G30))</v>
      </c>
      <c r="O62" s="159" t="str">
        <f t="shared" ca="1" si="26"/>
        <v>=IF(B30=0,0,B30)</v>
      </c>
      <c r="P62" s="159" t="str">
        <f t="shared" ca="1" si="26"/>
        <v>=K30+M30</v>
      </c>
      <c r="Q62" s="159" t="str">
        <f t="shared" ca="1" si="26"/>
        <v>=E30*(1-G30)</v>
      </c>
      <c r="R62" s="159" t="str">
        <f t="shared" ca="1" si="26"/>
        <v>=F30*(1-G30)</v>
      </c>
    </row>
    <row r="63" spans="1:18" ht="36" x14ac:dyDescent="0.35">
      <c r="A63" s="160">
        <v>31</v>
      </c>
      <c r="B63" s="158" t="str">
        <f t="shared" ref="B63:J63" si="27">B31</f>
        <v>Available to make &lt;&gt;0</v>
      </c>
      <c r="C63" s="158">
        <f t="shared" si="27"/>
        <v>0</v>
      </c>
      <c r="D63" s="158">
        <f t="shared" si="27"/>
        <v>0</v>
      </c>
      <c r="E63" s="158">
        <f t="shared" si="27"/>
        <v>0</v>
      </c>
      <c r="F63" s="158">
        <f t="shared" si="27"/>
        <v>0</v>
      </c>
      <c r="G63" s="158">
        <f t="shared" si="27"/>
        <v>0</v>
      </c>
      <c r="H63" s="158" t="str">
        <f t="shared" si="27"/>
        <v>Make &gt;= 0.000016</v>
      </c>
      <c r="I63" s="158" t="str">
        <f t="shared" si="27"/>
        <v>Make &gt; current online coin price</v>
      </c>
      <c r="J63" s="158" t="str">
        <f t="shared" si="27"/>
        <v>Make &gt;= 0.01</v>
      </c>
      <c r="K63" s="158">
        <f>K31</f>
        <v>0</v>
      </c>
      <c r="L63" s="158">
        <f t="shared" ref="L63:R63" si="28">L31</f>
        <v>0</v>
      </c>
      <c r="M63" s="158">
        <f t="shared" si="28"/>
        <v>0</v>
      </c>
      <c r="N63" s="158">
        <f t="shared" si="28"/>
        <v>0</v>
      </c>
      <c r="O63" s="158">
        <f t="shared" si="28"/>
        <v>0</v>
      </c>
      <c r="P63" s="158">
        <f t="shared" si="28"/>
        <v>0</v>
      </c>
      <c r="Q63" s="158">
        <f t="shared" si="28"/>
        <v>0</v>
      </c>
      <c r="R63" s="158">
        <f t="shared" si="28"/>
        <v>0</v>
      </c>
    </row>
    <row r="454" spans="1:1" x14ac:dyDescent="0.4">
      <c r="A454" s="89"/>
    </row>
    <row r="455" spans="1:1" x14ac:dyDescent="0.4">
      <c r="A455" s="89"/>
    </row>
    <row r="456" spans="1:1" x14ac:dyDescent="0.4">
      <c r="A456" s="89"/>
    </row>
    <row r="457" spans="1:1" x14ac:dyDescent="0.4">
      <c r="A457" s="89"/>
    </row>
    <row r="458" spans="1:1" x14ac:dyDescent="0.4">
      <c r="A458" s="89"/>
    </row>
    <row r="459" spans="1:1" x14ac:dyDescent="0.4">
      <c r="A459" s="89"/>
    </row>
    <row r="460" spans="1:1" x14ac:dyDescent="0.4">
      <c r="A460" s="89"/>
    </row>
    <row r="461" spans="1:1" x14ac:dyDescent="0.4">
      <c r="A461" s="89"/>
    </row>
    <row r="462" spans="1:1" x14ac:dyDescent="0.4">
      <c r="A462" s="89"/>
    </row>
    <row r="463" spans="1:1" x14ac:dyDescent="0.4">
      <c r="A463" s="89"/>
    </row>
    <row r="464" spans="1:1" x14ac:dyDescent="0.4">
      <c r="A464" s="89"/>
    </row>
    <row r="465" spans="1:1" x14ac:dyDescent="0.4">
      <c r="A465" s="89"/>
    </row>
    <row r="466" spans="1:1" x14ac:dyDescent="0.4">
      <c r="A466" s="89"/>
    </row>
    <row r="467" spans="1:1" x14ac:dyDescent="0.4">
      <c r="A467" s="89"/>
    </row>
    <row r="468" spans="1:1" x14ac:dyDescent="0.4">
      <c r="A468" s="89"/>
    </row>
    <row r="469" spans="1:1" x14ac:dyDescent="0.4">
      <c r="A469" s="89"/>
    </row>
    <row r="470" spans="1:1" x14ac:dyDescent="0.4">
      <c r="A470" s="89"/>
    </row>
    <row r="471" spans="1:1" x14ac:dyDescent="0.4">
      <c r="A471" s="89"/>
    </row>
    <row r="472" spans="1:1" x14ac:dyDescent="0.4">
      <c r="A472" s="89"/>
    </row>
    <row r="473" spans="1:1" x14ac:dyDescent="0.4">
      <c r="A473" s="89"/>
    </row>
    <row r="474" spans="1:1" x14ac:dyDescent="0.4">
      <c r="A474" s="89"/>
    </row>
    <row r="475" spans="1:1" x14ac:dyDescent="0.4">
      <c r="A475" s="89"/>
    </row>
    <row r="476" spans="1:1" x14ac:dyDescent="0.4">
      <c r="A476" s="89"/>
    </row>
    <row r="477" spans="1:1" x14ac:dyDescent="0.4">
      <c r="A477" s="89"/>
    </row>
    <row r="478" spans="1:1" x14ac:dyDescent="0.4">
      <c r="A478" s="89"/>
    </row>
    <row r="479" spans="1:1" x14ac:dyDescent="0.4">
      <c r="A479" s="89"/>
    </row>
    <row r="480" spans="1:1" x14ac:dyDescent="0.4">
      <c r="A480" s="89"/>
    </row>
    <row r="481" spans="1:1" x14ac:dyDescent="0.4">
      <c r="A481" s="89"/>
    </row>
    <row r="482" spans="1:1" x14ac:dyDescent="0.4">
      <c r="A482" s="89"/>
    </row>
    <row r="483" spans="1:1" x14ac:dyDescent="0.4">
      <c r="A483" s="89"/>
    </row>
  </sheetData>
  <sheetProtection selectLockedCells="1"/>
  <mergeCells count="15">
    <mergeCell ref="L10:R10"/>
    <mergeCell ref="D3:K3"/>
    <mergeCell ref="D5:K5"/>
    <mergeCell ref="F6:G6"/>
    <mergeCell ref="H10:I10"/>
    <mergeCell ref="J10:K10"/>
    <mergeCell ref="L5:R5"/>
    <mergeCell ref="H7:H8"/>
    <mergeCell ref="D7:E8"/>
    <mergeCell ref="D10:G10"/>
    <mergeCell ref="B29:C29"/>
    <mergeCell ref="B13:C13"/>
    <mergeCell ref="B17:C17"/>
    <mergeCell ref="B21:C21"/>
    <mergeCell ref="B25:C25"/>
  </mergeCells>
  <phoneticPr fontId="23" type="noConversion"/>
  <conditionalFormatting sqref="B15">
    <cfRule type="expression" dxfId="77" priority="113">
      <formula>B14&gt;0</formula>
    </cfRule>
    <cfRule type="expression" dxfId="76" priority="114">
      <formula>B14=0</formula>
    </cfRule>
  </conditionalFormatting>
  <conditionalFormatting sqref="B19">
    <cfRule type="expression" dxfId="75" priority="96">
      <formula>B18&gt;0</formula>
    </cfRule>
    <cfRule type="expression" dxfId="74" priority="97">
      <formula>B18=0</formula>
    </cfRule>
  </conditionalFormatting>
  <conditionalFormatting sqref="B23">
    <cfRule type="expression" dxfId="73" priority="94">
      <formula>B22&gt;0</formula>
    </cfRule>
    <cfRule type="expression" dxfId="72" priority="95">
      <formula>B22=0</formula>
    </cfRule>
  </conditionalFormatting>
  <conditionalFormatting sqref="B27">
    <cfRule type="expression" dxfId="71" priority="115">
      <formula>B26&lt;&gt;0</formula>
    </cfRule>
    <cfRule type="expression" dxfId="70" priority="116">
      <formula>B26=0</formula>
    </cfRule>
  </conditionalFormatting>
  <conditionalFormatting sqref="B31">
    <cfRule type="expression" dxfId="69" priority="92">
      <formula>B30&lt;&gt;0</formula>
    </cfRule>
    <cfRule type="expression" dxfId="68" priority="93">
      <formula>B30=0</formula>
    </cfRule>
  </conditionalFormatting>
  <conditionalFormatting sqref="C18">
    <cfRule type="expression" dxfId="67" priority="69">
      <formula>$B$14&lt;&gt;0</formula>
    </cfRule>
    <cfRule type="expression" dxfId="66" priority="81">
      <formula>$C$18&gt;=0</formula>
    </cfRule>
    <cfRule type="expression" dxfId="65" priority="82">
      <formula>$C$14=0</formula>
    </cfRule>
  </conditionalFormatting>
  <conditionalFormatting sqref="C22">
    <cfRule type="expression" dxfId="64" priority="78" stopIfTrue="1">
      <formula>$B$14&lt;&gt;0</formula>
    </cfRule>
  </conditionalFormatting>
  <conditionalFormatting sqref="C18:G18 C19:F19 I18:R19">
    <cfRule type="expression" dxfId="63" priority="71" stopIfTrue="1">
      <formula>OR($E$18=0,$F$18=0,$G$18=0)</formula>
    </cfRule>
  </conditionalFormatting>
  <conditionalFormatting sqref="C18:G18 C19:F19">
    <cfRule type="expression" dxfId="62" priority="70" stopIfTrue="1">
      <formula>$B$18=0</formula>
    </cfRule>
  </conditionalFormatting>
  <conditionalFormatting sqref="C30:G30 I30:R31 D31:G31">
    <cfRule type="expression" dxfId="61" priority="72" stopIfTrue="1">
      <formula>$B$30=0</formula>
    </cfRule>
    <cfRule type="expression" dxfId="60" priority="73" stopIfTrue="1">
      <formula>OR($E$14=0,$F$14=0,$G$14=0)</formula>
    </cfRule>
  </conditionalFormatting>
  <conditionalFormatting sqref="C27:I27">
    <cfRule type="expression" dxfId="59" priority="60" stopIfTrue="1">
      <formula>OR($E$14=0,$F$14=0,$G$14=0)</formula>
    </cfRule>
  </conditionalFormatting>
  <conditionalFormatting sqref="C22:R23">
    <cfRule type="expression" dxfId="58" priority="68" stopIfTrue="1">
      <formula>$B$22=0</formula>
    </cfRule>
    <cfRule type="expression" dxfId="57" priority="77" stopIfTrue="1">
      <formula>$G$14=0</formula>
    </cfRule>
    <cfRule type="expression" dxfId="56" priority="104">
      <formula>OR($E$14=0,$F$14=0,$G$14=0)</formula>
    </cfRule>
  </conditionalFormatting>
  <conditionalFormatting sqref="C26:R26 C27:G27 I27 K27:R27">
    <cfRule type="expression" dxfId="55" priority="25" stopIfTrue="1">
      <formula>$B$26=0</formula>
    </cfRule>
  </conditionalFormatting>
  <conditionalFormatting sqref="C26:R26 K27:R27">
    <cfRule type="expression" dxfId="54" priority="75" stopIfTrue="1">
      <formula>OR($E$14=0,$F$14=0,$G$14=0)</formula>
    </cfRule>
  </conditionalFormatting>
  <conditionalFormatting sqref="D15">
    <cfRule type="expression" dxfId="53" priority="125">
      <formula>AND($D$14&lt;=0.004,$D$14&gt;=0)</formula>
    </cfRule>
    <cfRule type="expression" dxfId="52" priority="126">
      <formula>OR($D$14&gt;0.004,$D$14&lt;=0)</formula>
    </cfRule>
  </conditionalFormatting>
  <conditionalFormatting sqref="E15">
    <cfRule type="expression" dxfId="51" priority="108">
      <formula>E14&lt;=0</formula>
    </cfRule>
    <cfRule type="expression" dxfId="50" priority="109">
      <formula>E14&gt;0</formula>
    </cfRule>
  </conditionalFormatting>
  <conditionalFormatting sqref="F15">
    <cfRule type="expression" dxfId="49" priority="106">
      <formula>F14&gt;0</formula>
    </cfRule>
    <cfRule type="expression" dxfId="48" priority="107">
      <formula>F14&lt;=0</formula>
    </cfRule>
  </conditionalFormatting>
  <conditionalFormatting sqref="G15">
    <cfRule type="expression" dxfId="47" priority="128">
      <formula>AND($G$14&lt;=1,$G$14&gt;0)</formula>
    </cfRule>
    <cfRule type="expression" dxfId="46" priority="129">
      <formula>OR($G$14&gt;1,$G$14&lt;=0)</formula>
    </cfRule>
  </conditionalFormatting>
  <conditionalFormatting sqref="G23">
    <cfRule type="expression" dxfId="45" priority="80">
      <formula>AND($G$22&lt;=1,$G$22&gt;0)</formula>
    </cfRule>
    <cfRule type="expression" dxfId="44" priority="88">
      <formula>OR($G$23&gt;1,$G$23&lt;=0)</formula>
    </cfRule>
  </conditionalFormatting>
  <conditionalFormatting sqref="G27">
    <cfRule type="expression" dxfId="43" priority="98">
      <formula>OR($G$26&lt;=1,$G$26&gt;0)</formula>
    </cfRule>
  </conditionalFormatting>
  <conditionalFormatting sqref="G31">
    <cfRule type="expression" dxfId="42" priority="74">
      <formula>AND($G$30&lt;=1,$G$30&gt;0)</formula>
    </cfRule>
    <cfRule type="expression" dxfId="41" priority="90">
      <formula>OR($G$30&gt;1,$G$30&lt;=0)</formula>
    </cfRule>
  </conditionalFormatting>
  <conditionalFormatting sqref="H15">
    <cfRule type="expression" dxfId="40" priority="86">
      <formula>H14&gt;=0.000016</formula>
    </cfRule>
    <cfRule type="expression" dxfId="39" priority="127">
      <formula>H14&lt;0.000016</formula>
    </cfRule>
  </conditionalFormatting>
  <conditionalFormatting sqref="H18:H19">
    <cfRule type="expression" dxfId="38" priority="22" stopIfTrue="1">
      <formula>$G$14=0</formula>
    </cfRule>
    <cfRule type="expression" dxfId="37" priority="23">
      <formula>OR($E$14=0,$F$14=0,$G$14=0)</formula>
    </cfRule>
  </conditionalFormatting>
  <conditionalFormatting sqref="H19">
    <cfRule type="expression" dxfId="36" priority="1">
      <formula>$H$18=0</formula>
    </cfRule>
    <cfRule type="expression" dxfId="35" priority="16">
      <formula>H18&gt;=0.000016</formula>
    </cfRule>
    <cfRule type="expression" dxfId="34" priority="17">
      <formula>H18&lt;0.000016</formula>
    </cfRule>
  </conditionalFormatting>
  <conditionalFormatting sqref="H23">
    <cfRule type="expression" dxfId="33" priority="118">
      <formula>H22&gt;=0.000016</formula>
    </cfRule>
    <cfRule type="expression" dxfId="32" priority="122">
      <formula>H22&lt;0.000016</formula>
    </cfRule>
  </conditionalFormatting>
  <conditionalFormatting sqref="H26">
    <cfRule type="expression" dxfId="31" priority="76">
      <formula>-$B$26&lt;&gt;0</formula>
    </cfRule>
  </conditionalFormatting>
  <conditionalFormatting sqref="H27">
    <cfRule type="expression" dxfId="30" priority="59" stopIfTrue="1">
      <formula>$B$14=0</formula>
    </cfRule>
    <cfRule type="expression" dxfId="29" priority="61">
      <formula>H26&gt;=0.000016</formula>
    </cfRule>
    <cfRule type="expression" dxfId="28" priority="62">
      <formula>H26&lt;0.000016</formula>
    </cfRule>
  </conditionalFormatting>
  <conditionalFormatting sqref="H30">
    <cfRule type="expression" dxfId="27" priority="2" stopIfTrue="1">
      <formula>$B$30=0</formula>
    </cfRule>
    <cfRule type="expression" dxfId="26" priority="8">
      <formula>-$B$30&lt;&gt;0</formula>
    </cfRule>
  </conditionalFormatting>
  <conditionalFormatting sqref="H30:H31">
    <cfRule type="expression" dxfId="25" priority="4" stopIfTrue="1">
      <formula>OR($E$14=0,$F$14=0,$G$14=0)</formula>
    </cfRule>
  </conditionalFormatting>
  <conditionalFormatting sqref="H31">
    <cfRule type="expression" dxfId="24" priority="3" stopIfTrue="1">
      <formula>$B$30</formula>
    </cfRule>
    <cfRule type="expression" dxfId="23" priority="5">
      <formula>H30&gt;=0.000016</formula>
    </cfRule>
    <cfRule type="expression" dxfId="22" priority="6">
      <formula>H30&lt;0.000016</formula>
    </cfRule>
  </conditionalFormatting>
  <conditionalFormatting sqref="H14:R15">
    <cfRule type="expression" dxfId="21" priority="79">
      <formula>OR($E$14=0,$F$14=0,$G$14=0)</formula>
    </cfRule>
    <cfRule type="expression" dxfId="20" priority="84" stopIfTrue="1">
      <formula>$B$14=0</formula>
    </cfRule>
    <cfRule type="expression" dxfId="19" priority="85" stopIfTrue="1">
      <formula>OR($E$14=0,$F$14=0,$G$14=0)</formula>
    </cfRule>
  </conditionalFormatting>
  <conditionalFormatting sqref="H18:R19">
    <cfRule type="expression" dxfId="18" priority="21" stopIfTrue="1">
      <formula>$B$18=0</formula>
    </cfRule>
  </conditionalFormatting>
  <conditionalFormatting sqref="I15">
    <cfRule type="expression" dxfId="17" priority="87">
      <formula>H14&lt;=0</formula>
    </cfRule>
  </conditionalFormatting>
  <conditionalFormatting sqref="J15">
    <cfRule type="expression" dxfId="16" priority="99" stopIfTrue="1">
      <formula>$J$14=0</formula>
    </cfRule>
    <cfRule type="expression" dxfId="15" priority="130">
      <formula>$J$14&gt;=0.01</formula>
    </cfRule>
    <cfRule type="expression" dxfId="14" priority="131">
      <formula>$J$14&lt;0.01</formula>
    </cfRule>
  </conditionalFormatting>
  <conditionalFormatting sqref="J19">
    <cfRule type="expression" dxfId="13" priority="102" stopIfTrue="1">
      <formula>$B$18=0</formula>
    </cfRule>
    <cfRule type="expression" dxfId="12" priority="103">
      <formula>$J$18&gt;=0.01</formula>
    </cfRule>
    <cfRule type="expression" dxfId="11" priority="105">
      <formula>$J$18&lt;0.01</formula>
    </cfRule>
  </conditionalFormatting>
  <conditionalFormatting sqref="J23">
    <cfRule type="expression" dxfId="10" priority="132" stopIfTrue="1">
      <formula>$J$22=0</formula>
    </cfRule>
    <cfRule type="expression" dxfId="9" priority="133">
      <formula>J22&lt;0.01</formula>
    </cfRule>
    <cfRule type="expression" dxfId="8" priority="134">
      <formula>$J$22&gt;=0</formula>
    </cfRule>
  </conditionalFormatting>
  <conditionalFormatting sqref="J27">
    <cfRule type="expression" dxfId="7" priority="41" stopIfTrue="1">
      <formula>$B$26=0</formula>
    </cfRule>
    <cfRule type="expression" dxfId="6" priority="42" stopIfTrue="1">
      <formula>$G$14=0</formula>
    </cfRule>
    <cfRule type="expression" dxfId="5" priority="43">
      <formula>OR($E$14=0,$F$14=0,$G$14=0)</formula>
    </cfRule>
    <cfRule type="expression" dxfId="4" priority="44" stopIfTrue="1">
      <formula>$J$26=0</formula>
    </cfRule>
    <cfRule type="expression" dxfId="3" priority="45">
      <formula>J26&lt;0.01</formula>
    </cfRule>
    <cfRule type="expression" dxfId="2" priority="46">
      <formula>$J$22&gt;=0</formula>
    </cfRule>
  </conditionalFormatting>
  <conditionalFormatting sqref="J31">
    <cfRule type="expression" dxfId="1" priority="100">
      <formula>$J$30&lt;0.01</formula>
    </cfRule>
    <cfRule type="expression" dxfId="0" priority="110">
      <formula>$J$30&gt;=0.01</formula>
    </cfRule>
  </conditionalFormatting>
  <printOptions headings="1"/>
  <pageMargins left="0.25" right="0.25" top="0.25" bottom="0.25" header="0" footer="0.25"/>
  <pageSetup scale="50" fitToWidth="2" pageOrder="overThenDown" orientation="landscape" horizontalDpi="300" verticalDpi="300" r:id="rId1"/>
  <headerFooter scaleWithDoc="0">
    <oddFooter>&amp;LPrinted &amp;D &amp;T
Page &amp;P of &amp;N&amp;C&amp;Z&amp;F</oddFooter>
  </headerFooter>
  <colBreaks count="1" manualBreakCount="1">
    <brk id="11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17029-A132-4DEA-B964-FAA452AAC47B}">
  <sheetPr codeName="Sheet2">
    <pageSetUpPr fitToPage="1"/>
  </sheetPr>
  <dimension ref="A1:R31"/>
  <sheetViews>
    <sheetView tabSelected="1" zoomScale="90" zoomScaleNormal="90" workbookViewId="0">
      <pane xSplit="1" ySplit="1" topLeftCell="B13" activePane="bottomRight" state="frozen"/>
      <selection pane="topRight" activeCell="B1" sqref="B1"/>
      <selection pane="bottomLeft" activeCell="A2" sqref="A2"/>
      <selection pane="bottomRight" activeCell="B15" sqref="B15"/>
    </sheetView>
  </sheetViews>
  <sheetFormatPr defaultColWidth="13" defaultRowHeight="14.4" x14ac:dyDescent="0.3"/>
  <cols>
    <col min="1" max="1" width="4" style="164" bestFit="1" customWidth="1"/>
    <col min="2" max="16384" width="13" style="161"/>
  </cols>
  <sheetData>
    <row r="1" spans="1:18" s="166" customFormat="1" x14ac:dyDescent="0.3">
      <c r="A1" s="167" t="s">
        <v>49</v>
      </c>
      <c r="B1" s="165" t="s">
        <v>50</v>
      </c>
      <c r="C1" s="165"/>
      <c r="D1" s="165" t="s">
        <v>52</v>
      </c>
      <c r="E1" s="165" t="s">
        <v>53</v>
      </c>
      <c r="F1" s="165" t="s">
        <v>54</v>
      </c>
      <c r="G1" s="165" t="s">
        <v>55</v>
      </c>
      <c r="H1" s="165" t="s">
        <v>56</v>
      </c>
      <c r="I1" s="165" t="s">
        <v>57</v>
      </c>
      <c r="J1" s="165" t="s">
        <v>58</v>
      </c>
      <c r="K1" s="165" t="s">
        <v>59</v>
      </c>
      <c r="L1" s="165" t="s">
        <v>60</v>
      </c>
      <c r="M1" s="165" t="s">
        <v>61</v>
      </c>
      <c r="N1" s="165" t="s">
        <v>62</v>
      </c>
      <c r="O1" s="165" t="s">
        <v>63</v>
      </c>
      <c r="P1" s="165" t="s">
        <v>64</v>
      </c>
      <c r="Q1" s="165" t="s">
        <v>65</v>
      </c>
      <c r="R1" s="165" t="s">
        <v>66</v>
      </c>
    </row>
    <row r="2" spans="1:18" ht="115.2" x14ac:dyDescent="0.3">
      <c r="A2" s="167">
        <v>2</v>
      </c>
      <c r="B2" s="162" t="s">
        <v>1</v>
      </c>
      <c r="C2" s="162"/>
      <c r="D2" s="162" t="s">
        <v>67</v>
      </c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</row>
    <row r="3" spans="1:18" ht="244.8" x14ac:dyDescent="0.3">
      <c r="A3" s="167">
        <v>3</v>
      </c>
      <c r="B3" s="162" t="s">
        <v>2</v>
      </c>
      <c r="C3" s="162"/>
      <c r="D3" s="162" t="s">
        <v>3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</row>
    <row r="4" spans="1:18" ht="115.2" x14ac:dyDescent="0.3">
      <c r="A4" s="167">
        <v>4</v>
      </c>
      <c r="B4" s="162" t="s">
        <v>4</v>
      </c>
      <c r="C4" s="162"/>
      <c r="D4" s="162" t="s">
        <v>5</v>
      </c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</row>
    <row r="5" spans="1:18" ht="28.8" x14ac:dyDescent="0.3">
      <c r="A5" s="167">
        <v>5</v>
      </c>
      <c r="B5" s="162" t="s">
        <v>6</v>
      </c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</row>
    <row r="6" spans="1:18" ht="43.2" x14ac:dyDescent="0.3">
      <c r="A6" s="167">
        <v>6</v>
      </c>
      <c r="B6" s="162" t="s">
        <v>7</v>
      </c>
      <c r="C6" s="162"/>
      <c r="D6" s="162" t="s">
        <v>8</v>
      </c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</row>
    <row r="7" spans="1:18" ht="28.8" x14ac:dyDescent="0.3">
      <c r="A7" s="167">
        <v>7</v>
      </c>
      <c r="B7" s="162"/>
      <c r="C7" s="162"/>
      <c r="D7" s="162" t="s">
        <v>9</v>
      </c>
      <c r="E7" s="162"/>
      <c r="F7" s="162"/>
      <c r="G7" s="162"/>
      <c r="H7" s="162" t="s">
        <v>10</v>
      </c>
      <c r="I7" s="162" t="s">
        <v>11</v>
      </c>
      <c r="J7" s="162" t="s">
        <v>12</v>
      </c>
      <c r="K7" s="162" t="s">
        <v>13</v>
      </c>
      <c r="L7" s="162"/>
      <c r="M7" s="162"/>
      <c r="N7" s="162"/>
      <c r="O7" s="162"/>
      <c r="P7" s="162"/>
      <c r="Q7" s="162"/>
      <c r="R7" s="162"/>
    </row>
    <row r="8" spans="1:18" ht="28.8" x14ac:dyDescent="0.3">
      <c r="A8" s="167">
        <v>8</v>
      </c>
      <c r="B8" s="162"/>
      <c r="C8" s="162"/>
      <c r="D8" s="162"/>
      <c r="E8" s="162"/>
      <c r="F8" s="162"/>
      <c r="G8" s="162"/>
      <c r="H8" s="162"/>
      <c r="I8" s="162" t="s">
        <v>68</v>
      </c>
      <c r="J8" s="162" t="s">
        <v>69</v>
      </c>
      <c r="K8" s="162" t="s">
        <v>70</v>
      </c>
      <c r="L8" s="162"/>
      <c r="M8" s="162"/>
      <c r="N8" s="162"/>
      <c r="O8" s="162"/>
      <c r="P8" s="162"/>
      <c r="Q8" s="162"/>
      <c r="R8" s="162"/>
    </row>
    <row r="9" spans="1:18" x14ac:dyDescent="0.3">
      <c r="A9" s="167">
        <v>9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</row>
    <row r="10" spans="1:18" ht="86.4" x14ac:dyDescent="0.3">
      <c r="A10" s="167">
        <v>10</v>
      </c>
      <c r="B10" s="162"/>
      <c r="C10" s="162"/>
      <c r="D10" s="162" t="s">
        <v>14</v>
      </c>
      <c r="E10" s="162"/>
      <c r="F10" s="162"/>
      <c r="G10" s="162"/>
      <c r="H10" s="162" t="s">
        <v>15</v>
      </c>
      <c r="I10" s="162"/>
      <c r="J10" s="162" t="s">
        <v>16</v>
      </c>
      <c r="K10" s="162"/>
      <c r="L10" s="162" t="s">
        <v>17</v>
      </c>
      <c r="M10" s="162"/>
      <c r="N10" s="162"/>
      <c r="O10" s="162"/>
      <c r="P10" s="162"/>
      <c r="Q10" s="162"/>
      <c r="R10" s="162"/>
    </row>
    <row r="11" spans="1:18" ht="57.6" x14ac:dyDescent="0.3">
      <c r="A11" s="167">
        <v>11</v>
      </c>
      <c r="B11" s="162" t="s">
        <v>18</v>
      </c>
      <c r="C11" s="162" t="s">
        <v>19</v>
      </c>
      <c r="D11" s="162" t="s">
        <v>20</v>
      </c>
      <c r="E11" s="162" t="s">
        <v>21</v>
      </c>
      <c r="F11" s="162" t="s">
        <v>22</v>
      </c>
      <c r="G11" s="162" t="s">
        <v>23</v>
      </c>
      <c r="H11" s="162" t="s">
        <v>24</v>
      </c>
      <c r="I11" s="162" t="s">
        <v>25</v>
      </c>
      <c r="J11" s="162" t="s">
        <v>26</v>
      </c>
      <c r="K11" s="162" t="s">
        <v>27</v>
      </c>
      <c r="L11" s="162" t="s">
        <v>28</v>
      </c>
      <c r="M11" s="162" t="s">
        <v>29</v>
      </c>
      <c r="N11" s="162" t="s">
        <v>30</v>
      </c>
      <c r="O11" s="162" t="s">
        <v>31</v>
      </c>
      <c r="P11" s="162" t="s">
        <v>32</v>
      </c>
      <c r="Q11" s="162" t="s">
        <v>33</v>
      </c>
      <c r="R11" s="162" t="s">
        <v>34</v>
      </c>
    </row>
    <row r="12" spans="1:18" x14ac:dyDescent="0.3">
      <c r="A12" s="167">
        <v>12</v>
      </c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</row>
    <row r="13" spans="1:18" ht="28.8" x14ac:dyDescent="0.3">
      <c r="A13" s="167">
        <v>13</v>
      </c>
      <c r="B13" s="162" t="s">
        <v>43</v>
      </c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</row>
    <row r="14" spans="1:18" ht="57.6" x14ac:dyDescent="0.3">
      <c r="A14" s="167">
        <v>14</v>
      </c>
      <c r="B14" s="162"/>
      <c r="C14" s="162"/>
      <c r="D14" s="162"/>
      <c r="E14" s="162"/>
      <c r="F14" s="162"/>
      <c r="G14" s="162"/>
      <c r="H14" s="162" t="s">
        <v>71</v>
      </c>
      <c r="I14" s="163" t="s">
        <v>72</v>
      </c>
      <c r="J14" s="162" t="s">
        <v>73</v>
      </c>
      <c r="K14" s="162" t="s">
        <v>74</v>
      </c>
      <c r="L14" s="162" t="s">
        <v>75</v>
      </c>
      <c r="M14" s="162" t="s">
        <v>76</v>
      </c>
      <c r="N14" s="162" t="s">
        <v>77</v>
      </c>
      <c r="O14" s="162" t="s">
        <v>78</v>
      </c>
      <c r="P14" s="162" t="s">
        <v>79</v>
      </c>
      <c r="Q14" s="162" t="s">
        <v>80</v>
      </c>
      <c r="R14" s="162" t="s">
        <v>81</v>
      </c>
    </row>
    <row r="15" spans="1:18" ht="43.2" x14ac:dyDescent="0.3">
      <c r="A15" s="167">
        <v>15</v>
      </c>
      <c r="B15" s="168" t="s">
        <v>35</v>
      </c>
      <c r="C15" s="162"/>
      <c r="D15" s="168" t="s">
        <v>36</v>
      </c>
      <c r="E15" s="168" t="s">
        <v>37</v>
      </c>
      <c r="F15" s="168" t="s">
        <v>37</v>
      </c>
      <c r="G15" s="168" t="s">
        <v>38</v>
      </c>
      <c r="H15" s="168" t="s">
        <v>39</v>
      </c>
      <c r="I15" s="168" t="s">
        <v>40</v>
      </c>
      <c r="J15" s="168" t="s">
        <v>41</v>
      </c>
      <c r="K15" s="162"/>
      <c r="L15" s="162"/>
      <c r="M15" s="162"/>
      <c r="N15" s="162"/>
      <c r="O15" s="162"/>
      <c r="P15" s="162"/>
      <c r="Q15" s="162"/>
      <c r="R15" s="162"/>
    </row>
    <row r="16" spans="1:18" x14ac:dyDescent="0.3">
      <c r="A16" s="167">
        <v>16</v>
      </c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</row>
    <row r="17" spans="1:18" ht="57.6" x14ac:dyDescent="0.3">
      <c r="A17" s="167">
        <v>17</v>
      </c>
      <c r="B17" s="162" t="s">
        <v>44</v>
      </c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</row>
    <row r="18" spans="1:18" ht="57.6" x14ac:dyDescent="0.3">
      <c r="A18" s="167">
        <v>18</v>
      </c>
      <c r="B18" s="162"/>
      <c r="C18" s="162" t="s">
        <v>82</v>
      </c>
      <c r="D18" s="162" t="s">
        <v>83</v>
      </c>
      <c r="E18" s="162" t="s">
        <v>84</v>
      </c>
      <c r="F18" s="162" t="s">
        <v>85</v>
      </c>
      <c r="G18" s="162" t="s">
        <v>86</v>
      </c>
      <c r="H18" s="162" t="s">
        <v>87</v>
      </c>
      <c r="I18" s="162" t="s">
        <v>88</v>
      </c>
      <c r="J18" s="163" t="s">
        <v>89</v>
      </c>
      <c r="K18" s="162" t="s">
        <v>90</v>
      </c>
      <c r="L18" s="162" t="s">
        <v>91</v>
      </c>
      <c r="M18" s="162" t="s">
        <v>92</v>
      </c>
      <c r="N18" s="162" t="s">
        <v>93</v>
      </c>
      <c r="O18" s="162" t="s">
        <v>94</v>
      </c>
      <c r="P18" s="162" t="s">
        <v>95</v>
      </c>
      <c r="Q18" s="162" t="s">
        <v>96</v>
      </c>
      <c r="R18" s="162" t="s">
        <v>97</v>
      </c>
    </row>
    <row r="19" spans="1:18" ht="43.2" x14ac:dyDescent="0.3">
      <c r="A19" s="167">
        <v>19</v>
      </c>
      <c r="B19" s="168" t="s">
        <v>35</v>
      </c>
      <c r="C19" s="162"/>
      <c r="D19" s="162"/>
      <c r="E19" s="162"/>
      <c r="F19" s="162"/>
      <c r="G19" s="162"/>
      <c r="H19" s="168" t="s">
        <v>39</v>
      </c>
      <c r="I19" s="168" t="s">
        <v>40</v>
      </c>
      <c r="J19" s="168" t="s">
        <v>41</v>
      </c>
      <c r="K19" s="162"/>
      <c r="L19" s="162"/>
      <c r="M19" s="162"/>
      <c r="N19" s="162"/>
      <c r="O19" s="162"/>
      <c r="P19" s="162"/>
      <c r="Q19" s="162"/>
      <c r="R19" s="162"/>
    </row>
    <row r="20" spans="1:18" x14ac:dyDescent="0.3">
      <c r="A20" s="167">
        <v>20</v>
      </c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</row>
    <row r="21" spans="1:18" ht="72" x14ac:dyDescent="0.3">
      <c r="A21" s="167">
        <v>21</v>
      </c>
      <c r="B21" s="162" t="s">
        <v>45</v>
      </c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18" ht="57.6" x14ac:dyDescent="0.3">
      <c r="A22" s="167">
        <v>22</v>
      </c>
      <c r="B22" s="162"/>
      <c r="C22" s="162" t="s">
        <v>82</v>
      </c>
      <c r="D22" s="162" t="s">
        <v>83</v>
      </c>
      <c r="E22" s="162" t="s">
        <v>84</v>
      </c>
      <c r="F22" s="162" t="s">
        <v>85</v>
      </c>
      <c r="G22" s="162" t="s">
        <v>98</v>
      </c>
      <c r="H22" s="162" t="s">
        <v>99</v>
      </c>
      <c r="I22" s="162" t="s">
        <v>100</v>
      </c>
      <c r="J22" s="162" t="s">
        <v>101</v>
      </c>
      <c r="K22" s="162" t="s">
        <v>102</v>
      </c>
      <c r="L22" s="162" t="s">
        <v>103</v>
      </c>
      <c r="M22" s="162" t="s">
        <v>104</v>
      </c>
      <c r="N22" s="163" t="s">
        <v>105</v>
      </c>
      <c r="O22" s="162" t="s">
        <v>106</v>
      </c>
      <c r="P22" s="162" t="s">
        <v>107</v>
      </c>
      <c r="Q22" s="162" t="s">
        <v>108</v>
      </c>
      <c r="R22" s="162" t="s">
        <v>109</v>
      </c>
    </row>
    <row r="23" spans="1:18" ht="43.2" x14ac:dyDescent="0.3">
      <c r="A23" s="167">
        <v>23</v>
      </c>
      <c r="B23" s="168" t="s">
        <v>35</v>
      </c>
      <c r="C23" s="162"/>
      <c r="D23" s="162"/>
      <c r="E23" s="162"/>
      <c r="F23" s="162"/>
      <c r="G23" s="162"/>
      <c r="H23" s="168" t="s">
        <v>39</v>
      </c>
      <c r="I23" s="168" t="s">
        <v>40</v>
      </c>
      <c r="J23" s="168" t="s">
        <v>41</v>
      </c>
      <c r="K23" s="162"/>
      <c r="L23" s="162"/>
      <c r="M23" s="162"/>
      <c r="N23" s="162"/>
      <c r="O23" s="162"/>
      <c r="P23" s="162"/>
      <c r="Q23" s="162"/>
      <c r="R23" s="162"/>
    </row>
    <row r="24" spans="1:18" x14ac:dyDescent="0.3">
      <c r="A24" s="167">
        <v>24</v>
      </c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</row>
    <row r="25" spans="1:18" ht="28.8" x14ac:dyDescent="0.3">
      <c r="A25" s="167">
        <v>25</v>
      </c>
      <c r="B25" s="162" t="s">
        <v>46</v>
      </c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</row>
    <row r="26" spans="1:18" ht="57.6" x14ac:dyDescent="0.3">
      <c r="A26" s="167">
        <v>26</v>
      </c>
      <c r="B26" s="162"/>
      <c r="C26" s="162" t="s">
        <v>82</v>
      </c>
      <c r="D26" s="162" t="s">
        <v>110</v>
      </c>
      <c r="E26" s="162" t="s">
        <v>111</v>
      </c>
      <c r="F26" s="162" t="s">
        <v>112</v>
      </c>
      <c r="G26" s="162" t="s">
        <v>113</v>
      </c>
      <c r="H26" s="162" t="s">
        <v>114</v>
      </c>
      <c r="I26" s="162" t="s">
        <v>115</v>
      </c>
      <c r="J26" s="162" t="s">
        <v>116</v>
      </c>
      <c r="K26" s="163" t="s">
        <v>117</v>
      </c>
      <c r="L26" s="162" t="s">
        <v>118</v>
      </c>
      <c r="M26" s="162" t="s">
        <v>119</v>
      </c>
      <c r="N26" s="162" t="s">
        <v>120</v>
      </c>
      <c r="O26" s="162" t="s">
        <v>121</v>
      </c>
      <c r="P26" s="162" t="s">
        <v>122</v>
      </c>
      <c r="Q26" s="162" t="s">
        <v>123</v>
      </c>
      <c r="R26" s="162" t="s">
        <v>124</v>
      </c>
    </row>
    <row r="27" spans="1:18" ht="43.2" x14ac:dyDescent="0.3">
      <c r="A27" s="167">
        <v>27</v>
      </c>
      <c r="B27" s="168" t="s">
        <v>42</v>
      </c>
      <c r="C27" s="162"/>
      <c r="D27" s="162"/>
      <c r="E27" s="162"/>
      <c r="F27" s="162"/>
      <c r="G27" s="162"/>
      <c r="H27" s="168" t="s">
        <v>39</v>
      </c>
      <c r="I27" s="168" t="s">
        <v>40</v>
      </c>
      <c r="J27" s="168" t="s">
        <v>41</v>
      </c>
      <c r="K27" s="162"/>
      <c r="L27" s="162"/>
      <c r="M27" s="162"/>
      <c r="N27" s="162"/>
      <c r="O27" s="162"/>
      <c r="P27" s="162"/>
      <c r="Q27" s="162"/>
      <c r="R27" s="162"/>
    </row>
    <row r="28" spans="1:18" x14ac:dyDescent="0.3">
      <c r="A28" s="167">
        <v>28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</row>
    <row r="29" spans="1:18" ht="57.6" x14ac:dyDescent="0.3">
      <c r="A29" s="167">
        <v>29</v>
      </c>
      <c r="B29" s="162" t="s">
        <v>47</v>
      </c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</row>
    <row r="30" spans="1:18" ht="57.6" x14ac:dyDescent="0.3">
      <c r="A30" s="167">
        <v>30</v>
      </c>
      <c r="B30" s="162"/>
      <c r="C30" s="162" t="s">
        <v>82</v>
      </c>
      <c r="D30" s="162" t="s">
        <v>110</v>
      </c>
      <c r="E30" s="162" t="s">
        <v>111</v>
      </c>
      <c r="F30" s="162" t="s">
        <v>112</v>
      </c>
      <c r="G30" s="162" t="s">
        <v>113</v>
      </c>
      <c r="H30" s="162" t="s">
        <v>125</v>
      </c>
      <c r="I30" s="162" t="s">
        <v>126</v>
      </c>
      <c r="J30" s="162" t="s">
        <v>127</v>
      </c>
      <c r="K30" s="162" t="s">
        <v>128</v>
      </c>
      <c r="L30" s="162" t="s">
        <v>129</v>
      </c>
      <c r="M30" s="162" t="s">
        <v>130</v>
      </c>
      <c r="N30" s="162" t="s">
        <v>131</v>
      </c>
      <c r="O30" s="163" t="s">
        <v>132</v>
      </c>
      <c r="P30" s="162" t="s">
        <v>133</v>
      </c>
      <c r="Q30" s="162" t="s">
        <v>134</v>
      </c>
      <c r="R30" s="162" t="s">
        <v>135</v>
      </c>
    </row>
    <row r="31" spans="1:18" ht="43.2" x14ac:dyDescent="0.3">
      <c r="A31" s="167">
        <v>31</v>
      </c>
      <c r="B31" s="168" t="s">
        <v>42</v>
      </c>
      <c r="C31" s="162"/>
      <c r="D31" s="162"/>
      <c r="E31" s="162"/>
      <c r="F31" s="162"/>
      <c r="G31" s="162"/>
      <c r="H31" s="168" t="s">
        <v>39</v>
      </c>
      <c r="I31" s="168" t="s">
        <v>40</v>
      </c>
      <c r="J31" s="168" t="s">
        <v>41</v>
      </c>
      <c r="K31" s="162"/>
      <c r="L31" s="162"/>
      <c r="M31" s="162"/>
      <c r="N31" s="162"/>
      <c r="O31" s="162"/>
      <c r="P31" s="162"/>
      <c r="Q31" s="162"/>
      <c r="R31" s="162"/>
    </row>
  </sheetData>
  <printOptions gridLines="1"/>
  <pageMargins left="0.7" right="0.7" top="0.75" bottom="0.75" header="0.3" footer="0.3"/>
  <pageSetup scale="74" fitToWidth="2" fitToHeight="2" orientation="portrait" draft="1" r:id="rId1"/>
  <headerFooter>
    <oddFooter>&amp;LPrinted &amp;D  &amp;T
Page &amp;P of &amp;N&amp;R&amp;F
&amp;A</oddFooter>
  </headerFooter>
  <rowBreaks count="1" manualBreakCount="1">
    <brk id="13" max="16383" man="1"/>
  </rowBreaks>
  <colBreaks count="1" manualBreakCount="1">
    <brk id="9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20230622update</vt:lpstr>
      <vt:lpstr>Labels and formulas</vt:lpstr>
      <vt:lpstr>'20230622update'!Print_Area</vt:lpstr>
      <vt:lpstr>'20230622update'!Print_Titles</vt:lpstr>
      <vt:lpstr>'Labels and formulas'!Print_Titles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Crypto Wiz Guy</dc:creator>
  <cp:keywords/>
  <dc:description/>
  <cp:lastModifiedBy>Larry Stephey</cp:lastModifiedBy>
  <cp:revision/>
  <cp:lastPrinted>2023-06-29T17:32:18Z</cp:lastPrinted>
  <dcterms:created xsi:type="dcterms:W3CDTF">2023-03-29T21:34:35Z</dcterms:created>
  <dcterms:modified xsi:type="dcterms:W3CDTF">2023-06-29T20:00:31Z</dcterms:modified>
  <cp:category/>
  <cp:contentStatus/>
</cp:coreProperties>
</file>