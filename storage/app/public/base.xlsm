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20230622update" sheetId="1" state="visible" r:id="rId2"/>
  </sheets>
  <definedNames>
    <definedName function="false" hidden="false" localSheetId="0" name="_xlnm.Print_Area" vbProcedure="false">20230622update!$B$13:$R$31</definedName>
    <definedName function="false" hidden="false" localSheetId="0" name="_xlnm.Print_Titles" vbProcedure="false">20230622update!$B:$C,20230622update!$2:$11</definedName>
    <definedName function="false" hidden="false" localSheetId="0" name="solver_adj" vbProcedure="false">20230622update!$B$18</definedName>
    <definedName function="false" hidden="false" localSheetId="0" name="solver_cvg" vbProcedure="false">0.0001</definedName>
    <definedName function="false" hidden="false" localSheetId="0" name="solver_drv" vbProcedure="false">1</definedName>
    <definedName function="false" hidden="false" localSheetId="0" name="solver_eng" vbProcedure="false">1</definedName>
    <definedName function="false" hidden="false" localSheetId="0" name="solver_est" vbProcedure="false">1</definedName>
    <definedName function="false" hidden="false" localSheetId="0" name="solver_itr" vbProcedure="false">250</definedName>
    <definedName function="false" hidden="false" localSheetId="0" name="solver_lhs1" vbProcedure="false">20230622update!$K$18</definedName>
    <definedName function="false" hidden="false" localSheetId="0" name="solver_lhs2" vbProcedure="false">20230622update!$M$22</definedName>
    <definedName function="false" hidden="false" localSheetId="0" name="solver_lhs3" vbProcedure="false">20230622update!$H$22</definedName>
    <definedName function="false" hidden="false" localSheetId="0" name="solver_lhs4" vbProcedure="false">20230622update!$H$22</definedName>
    <definedName function="false" hidden="false" localSheetId="0" name="solver_lhs5" vbProcedure="false">20230622update!$H$22</definedName>
    <definedName function="false" hidden="false" localSheetId="0" name="solver_mip" vbProcedure="false">1</definedName>
    <definedName function="false" hidden="false" localSheetId="0" name="solver_mni" vbProcedure="false">30</definedName>
    <definedName function="false" hidden="false" localSheetId="0" name="solver_mrt" vbProcedure="false">0.075</definedName>
    <definedName function="false" hidden="false" localSheetId="0" name="solver_msl" vbProcedure="false">2</definedName>
    <definedName function="false" hidden="false" localSheetId="0" name="solver_neg" vbProcedure="false">1</definedName>
    <definedName function="false" hidden="false" localSheetId="0" name="solver_nod" vbProcedure="false">2147483647</definedName>
    <definedName function="false" hidden="false" localSheetId="0" name="solver_num" vbProcedure="false">0</definedName>
    <definedName function="false" hidden="false" localSheetId="0" name="solver_nwt" vbProcedure="false">1</definedName>
    <definedName function="false" hidden="false" localSheetId="0" name="solver_opt" vbProcedure="false">20230622update!$I$18</definedName>
    <definedName function="false" hidden="false" localSheetId="0" name="solver_pre" vbProcedure="false">0.000001</definedName>
    <definedName function="false" hidden="false" localSheetId="0" name="solver_rbv" vbProcedure="false">1</definedName>
    <definedName function="false" hidden="false" localSheetId="0" name="solver_rel1" vbProcedure="false">2</definedName>
    <definedName function="false" hidden="false" localSheetId="0" name="solver_rel2" vbProcedure="false">3</definedName>
    <definedName function="false" hidden="false" localSheetId="0" name="solver_rel3" vbProcedure="false">2</definedName>
    <definedName function="false" hidden="false" localSheetId="0" name="solver_rel4" vbProcedure="false">2</definedName>
    <definedName function="false" hidden="false" localSheetId="0" name="solver_rel5" vbProcedure="false">3</definedName>
    <definedName function="false" hidden="false" localSheetId="0" name="solver_rhs1" vbProcedure="false">12.3161625</definedName>
    <definedName function="false" hidden="false" localSheetId="0" name="solver_rhs2" vbProcedure="false">0.25</definedName>
    <definedName function="false" hidden="false" localSheetId="0" name="solver_rhs3" vbProcedure="false">0.00075999</definedName>
    <definedName function="false" hidden="false" localSheetId="0" name="solver_rhs4" vbProcedure="false">0.00075999</definedName>
    <definedName function="false" hidden="false" localSheetId="0" name="solver_rhs5" vbProcedure="false">0.00055</definedName>
    <definedName function="false" hidden="false" localSheetId="0" name="solver_rlx" vbProcedure="false">2</definedName>
    <definedName function="false" hidden="false" localSheetId="0" name="solver_rsd" vbProcedure="false">0</definedName>
    <definedName function="false" hidden="false" localSheetId="0" name="solver_scl" vbProcedure="false">1</definedName>
    <definedName function="false" hidden="false" localSheetId="0" name="solver_sho" vbProcedure="false">2</definedName>
    <definedName function="false" hidden="false" localSheetId="0" name="solver_ssz" vbProcedure="false">100</definedName>
    <definedName function="false" hidden="false" localSheetId="0" name="solver_tim" vbProcedure="false">2147483647</definedName>
    <definedName function="false" hidden="false" localSheetId="0" name="solver_tol" vbProcedure="false">0.01</definedName>
    <definedName function="false" hidden="false" localSheetId="0" name="solver_typ" vbProcedure="false">3</definedName>
    <definedName function="false" hidden="false" localSheetId="0" name="solver_val" vbProcedure="false">26850.83</definedName>
    <definedName function="false" hidden="false" localSheetId="0" name="solver_ver" vbProcedure="false">3</definedName>
  </definedName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<sst xmlns="http://schemas.openxmlformats.org/spreadsheetml/2006/main" count="165" uniqueCount="119">
  <si>
    <t xml:space="preserve">A personalized deliverable from Crypto Wiz Guy™</t>
  </si>
  <si>
    <t xml:space="preserve">Color Key</t>
  </si>
  <si>
    <r>
      <rPr>
        <sz val="11"/>
        <color rgb="FF000000"/>
        <rFont val="Calibri"/>
        <family val="0"/>
        <charset val="1"/>
      </rPr>
      <t xml:space="preserve">Crypto Wiz Guy™ presents </t>
    </r>
    <r>
      <rPr>
        <b val="true"/>
        <sz val="30"/>
        <color rgb="FF000118"/>
        <rFont val="Calibri"/>
        <family val="0"/>
        <charset val="1"/>
      </rPr>
      <t xml:space="preserve">The online 5-Way Cryptocurrency Selling-for-Profit Calculator</t>
    </r>
  </si>
  <si>
    <t xml:space="preserve">Unlocked user input area</t>
  </si>
  <si>
    <t xml:space="preserve">This spreadsheet helps Coinbase crypto sellers make informed decisions about breaking even, how much they can take to the bank or reinvest, and how much profit or loss to expect.</t>
  </si>
  <si>
    <t xml:space="preserve">Locked area</t>
  </si>
  <si>
    <t xml:space="preserve">Calculations are unrounded and their values may extend to more than the decimal places shown.</t>
  </si>
  <si>
    <t xml:space="preserve">Locked output area</t>
  </si>
  <si>
    <t xml:space="preserve">Action message</t>
  </si>
  <si>
    <t xml:space="preserve">© 2023 by Crypto Wiz Guy™</t>
  </si>
  <si>
    <t xml:space="preserve">Ctrl+Shift+p to save PDF</t>
  </si>
  <si>
    <t xml:space="preserve">Before sale, from row 14</t>
  </si>
  <si>
    <t xml:space="preserve">Bought at</t>
  </si>
  <si>
    <t xml:space="preserve">Difference</t>
  </si>
  <si>
    <t xml:space="preserve">Change %</t>
  </si>
  <si>
    <t xml:space="preserve">Required</t>
  </si>
  <si>
    <t xml:space="preserve">Outputs to enter into Coinbase, Advanced Trading, Limit Sale, Post Only</t>
  </si>
  <si>
    <t xml:space="preserve">Calculations</t>
  </si>
  <si>
    <t xml:space="preserve"> Calculations, continued</t>
  </si>
  <si>
    <t xml:space="preserve">Target type and value</t>
  </si>
  <si>
    <t xml:space="preserve">Actual transaction date mm/dd/yyyy</t>
  </si>
  <si>
    <t xml:space="preserve">Fee rate</t>
  </si>
  <si>
    <t xml:space="preserve">Basis of coins on hand $</t>
  </si>
  <si>
    <t xml:space="preserve">Coins on hand</t>
  </si>
  <si>
    <t xml:space="preserve">% of coins to sell</t>
  </si>
  <si>
    <t xml:space="preserve">Coins to sell</t>
  </si>
  <si>
    <t xml:space="preserve">Selling price per full coin $</t>
  </si>
  <si>
    <t xml:space="preserve">Net proceeds $ to bank or reinvest</t>
  </si>
  <si>
    <t xml:space="preserve">Net profit (loss) $</t>
  </si>
  <si>
    <t xml:space="preserve">Gross proceeds $</t>
  </si>
  <si>
    <t xml:space="preserve">Variable selling fee $</t>
  </si>
  <si>
    <t xml:space="preserve">Net proceeds % [ratio to this sell's basis]</t>
  </si>
  <si>
    <t xml:space="preserve">Net profit (loss) % [ratio to this sell's basis]</t>
  </si>
  <si>
    <t xml:space="preserve">Gain (loss) $ [excludes selling fees]</t>
  </si>
  <si>
    <t xml:space="preserve">Basis after sale $</t>
  </si>
  <si>
    <t xml:space="preserve">Coins after sale</t>
  </si>
  <si>
    <t xml:space="preserve">1. Selling price $ target</t>
  </si>
  <si>
    <t xml:space="preserve">2. Net proceeds $ target to bank or re-invest</t>
  </si>
  <si>
    <t xml:space="preserve">Available to make &gt;0</t>
  </si>
  <si>
    <t xml:space="preserve">3. Net proceeds % target [ratio to this sell's basis]</t>
  </si>
  <si>
    <t xml:space="preserve">4. Net profit (loss) $ target</t>
  </si>
  <si>
    <t xml:space="preserve">Available to make &lt;&gt;0</t>
  </si>
  <si>
    <t xml:space="preserve">5. Net profit (loss) % target [ratio to this sell's basis]</t>
  </si>
  <si>
    <t xml:space="preserve">Cell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</si>
  <si>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</si>
  <si>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</si>
  <si>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</si>
  <si>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</si>
  <si>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</si>
  <si>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</si>
  <si>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</si>
  <si>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</si>
  <si>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</si>
  <si>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</si>
  <si>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</si>
  <si>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</si>
  <si>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N</t>
  </si>
  <si>
    <t xml:space="preserve">O</t>
  </si>
  <si>
    <t xml:space="preserve">P</t>
  </si>
  <si>
    <t xml:space="preserve">Q</t>
  </si>
  <si>
    <t xml:space="preserve">R</t>
  </si>
  <si>
    <t xml:space="preserve">#N/A</t>
  </si>
  <si>
    <t xml:space="preserve">=IF(F14=0,0,E14/F14)</t>
  </si>
  <si>
    <t xml:space="preserve">=+I14-I8</t>
  </si>
  <si>
    <t xml:space="preserve">=IF(I8=0,0,(I14-I8)/I8)</t>
  </si>
  <si>
    <t xml:space="preserve">=IF($C$14=0,"",$C$14)</t>
  </si>
  <si>
    <t xml:space="preserve">=($D$14)</t>
  </si>
  <si>
    <t xml:space="preserve">=($E$14)</t>
  </si>
  <si>
    <t xml:space="preserve">=($F$14)</t>
  </si>
  <si>
    <t xml:space="preserve">=($G$14)</t>
  </si>
  <si>
    <t xml:space="preserve">=(F18*G18)</t>
  </si>
  <si>
    <t xml:space="preserve">=IF(OR($F18=0,$G18=0),0,((J18+M18)/(F18*G18)))</t>
  </si>
  <si>
    <t xml:space="preserve">=IF(B18=0,0,B18)</t>
  </si>
  <si>
    <t xml:space="preserve">=+J18-(E18*G18)</t>
  </si>
  <si>
    <t xml:space="preserve">=+H18*I18</t>
  </si>
  <si>
    <t xml:space="preserve">=(J18*D18)/(1-D18)</t>
  </si>
  <si>
    <t xml:space="preserve">=IF(OR(E18=0,G18=0),0,+J18/(E18*G18))</t>
  </si>
  <si>
    <t xml:space="preserve">=+IF(OR(B18=0,E18=0,G18=0),0,K18/(E18*G18))</t>
  </si>
  <si>
    <t xml:space="preserve">=(K18+M18)</t>
  </si>
  <si>
    <t xml:space="preserve">=(E18*(1-G18))</t>
  </si>
  <si>
    <t xml:space="preserve">=(F18*(1-G18))</t>
  </si>
  <si>
    <t xml:space="preserve">=+$G$14</t>
  </si>
  <si>
    <t xml:space="preserve">=(F22*G22)</t>
  </si>
  <si>
    <t xml:space="preserve">=IF(OR($F22=0,$G22=0),0,((J22+M22)/(F22*G22)))</t>
  </si>
  <si>
    <t xml:space="preserve">=N22*(E22*G22)</t>
  </si>
  <si>
    <t xml:space="preserve">=+J22-(E22*G22)</t>
  </si>
  <si>
    <t xml:space="preserve">=+I22*H22</t>
  </si>
  <si>
    <t xml:space="preserve">=(J22*D22)/(1-D22)</t>
  </si>
  <si>
    <t xml:space="preserve">=IF(B22=0,0,B22)</t>
  </si>
  <si>
    <t xml:space="preserve">=+IF(OR(B22=0,E22=0,G22=0),0,K22/(E22*G22))</t>
  </si>
  <si>
    <t xml:space="preserve">=(K22+M22)</t>
  </si>
  <si>
    <t xml:space="preserve">=(E22*(1-G22))</t>
  </si>
  <si>
    <t xml:space="preserve">=(F22*(1-G22))</t>
  </si>
  <si>
    <t xml:space="preserve">=$D$14</t>
  </si>
  <si>
    <t xml:space="preserve">=$E$14</t>
  </si>
  <si>
    <t xml:space="preserve">=$F$14</t>
  </si>
  <si>
    <t xml:space="preserve">=$G$14</t>
  </si>
  <si>
    <t xml:space="preserve">=F26*G26</t>
  </si>
  <si>
    <t xml:space="preserve">=IF(OR($F26=0,$G26=0),0,((J26+M26)/(F26*G26)))</t>
  </si>
  <si>
    <t xml:space="preserve">=K26+(E26*G26)</t>
  </si>
  <si>
    <t xml:space="preserve">=IF(B26=0,0,B26)</t>
  </si>
  <si>
    <t xml:space="preserve">=F26*G26*I26</t>
  </si>
  <si>
    <t xml:space="preserve">=(J26*D26)/(1-D26)</t>
  </si>
  <si>
    <t xml:space="preserve">=IF(OR(E26=0,G26=0),0,+J26/(E26*G26))</t>
  </si>
  <si>
    <t xml:space="preserve">=+IF(OR(B26=0,E26=0,G26=0),0,K26/(E26*G26))</t>
  </si>
  <si>
    <t xml:space="preserve">=K26+M26</t>
  </si>
  <si>
    <t xml:space="preserve">=E26*(1-G26)</t>
  </si>
  <si>
    <t xml:space="preserve">=F26*(1-G26)</t>
  </si>
  <si>
    <t xml:space="preserve">=F30*G30</t>
  </si>
  <si>
    <t xml:space="preserve">=IF(OR($F30=0,$G30=0),0,((J30+M30)/(F30*G30)))</t>
  </si>
  <si>
    <t xml:space="preserve">=K30+(E30*G30)</t>
  </si>
  <si>
    <t xml:space="preserve">=(E30*G30)*O30</t>
  </si>
  <si>
    <t xml:space="preserve">=F30*G30*I30</t>
  </si>
  <si>
    <t xml:space="preserve">=(J30*D30)/(1-D30)</t>
  </si>
  <si>
    <t xml:space="preserve">=IF(OR(E30=0,G30=0),0,+J30/(E30*G30))</t>
  </si>
  <si>
    <t xml:space="preserve">=IF(B30=0,0,B30)</t>
  </si>
  <si>
    <t xml:space="preserve">=K30+M30</t>
  </si>
  <si>
    <t xml:space="preserve">=E30*(1-G30)</t>
  </si>
  <si>
    <t xml:space="preserve">=F30*(1-G30)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</si>
</sst>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[$$-409]* #,##0.00000000\ ;[$$-409]* \(#,##0.00000000\);[$$-409]* \-#\ ;\ @\ "/>
    <numFmt numFmtId="166" formatCode="&quot; Coins&quot;* #,##0.00\ ;&quot; Coins&quot;* \(#,##0.00\);&quot; Coins&quot;* \-#\ ;\ @\ "/>
    <numFmt numFmtId="167" formatCode="\ * #,##0.00000000\ ;\ * \(#,##0.00000000\);\ * \-#\ ;\ @\ "/>
    <numFmt numFmtId="168" formatCode="0.00%"/>
    <numFmt numFmtId="169" formatCode="[$-409]m/d/yy\ h:mm\ AM/PM;@"/>
    <numFmt numFmtId="170" formatCode="0.00000000%"/>
    <numFmt numFmtId="171" formatCode="[$-409]m/d/yyyy"/>
    <numFmt numFmtId="172" formatCode="&quot; Coins&quot;* #,##0.00000000\ ;&quot; Coins&quot;* \(#,##0.00000000\);&quot; Coins&quot;* \-#\ ;\ @\ "/>
    <numFmt numFmtId="173" formatCode="0.000%"/>
    <numFmt numFmtId="174" formatCode="&quot; Coins&quot;* #,##0.000000000\ ;&quot; Coins&quot;* \(#,##0.000000000\);&quot; Coins&quot;* \-#\ ;\ @\ "/>
    <numFmt numFmtId="175" formatCode="[$$-409]* #,##0.00\ ;[$$-409]* \(#,##0.00\);[$$-409]* \-#\ ;\ @\ "/>
  </numFmts>
  <fonts count="15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4"/>
      <color rgb="FF000000"/>
      <name val="Calibri"/>
      <family val="0"/>
      <charset val="1"/>
    </font>
    <font>
      <sz val="16"/>
      <color rgb="FF000000"/>
      <name val="Calibri"/>
      <family val="0"/>
      <charset val="1"/>
    </font>
    <font>
      <sz val="14"/>
      <color rgb="FFFFFFFF"/>
      <name val="Calibri"/>
      <family val="0"/>
      <charset val="1"/>
    </font>
    <font>
      <sz val="22"/>
      <color rgb="FF000000"/>
      <name val="Calibri"/>
      <family val="0"/>
      <charset val="1"/>
    </font>
    <font>
      <b val="true"/>
      <sz val="30"/>
      <color rgb="FF000118"/>
      <name val="Calibri"/>
      <family val="0"/>
      <charset val="1"/>
    </font>
    <font>
      <sz val="18"/>
      <color rgb="FF3F3F76"/>
      <name val="Calibri"/>
      <family val="0"/>
      <charset val="1"/>
    </font>
    <font>
      <sz val="18"/>
      <color rgb="FF000000"/>
      <name val="Calibri"/>
      <family val="0"/>
      <charset val="1"/>
    </font>
    <font>
      <sz val="18"/>
      <color rgb="FFFF0000"/>
      <name val="Calibri"/>
      <family val="0"/>
      <charset val="1"/>
    </font>
    <font>
      <b val="true"/>
      <sz val="19"/>
      <color rgb="FF000000"/>
      <name val="Calibri"/>
      <family val="0"/>
      <charset val="1"/>
    </font>
    <font>
      <b val="true"/>
      <sz val="20"/>
      <color rgb="FF000000"/>
      <name val="Calibri"/>
      <family val="0"/>
      <charset val="1"/>
    </font>
    <font>
      <sz val="16"/>
      <color rgb="FF3F3F76"/>
      <name val="Calibri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  <bgColor rgb="FFC5E0B4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CFFCC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/>
      <right/>
      <top style="thin">
        <color rgb="FF7F7F7F"/>
      </top>
      <bottom/>
      <diagonal/>
    </border>
    <border diagonalUp="false" diagonalDown="false">
      <left style="thin">
        <color rgb="FF7F7F7F"/>
      </left>
      <right style="thin">
        <color rgb="FF7F7F7F"/>
      </right>
      <top style="thin"/>
      <bottom style="thin">
        <color rgb="FF7F7F7F"/>
      </bottom>
      <diagonal/>
    </border>
    <border diagonalUp="false" diagonalDown="false">
      <left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5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5" fontId="4" fillId="0" borderId="0" xfId="0" applyFont="true" applyBorder="false" applyAlignment="true" applyProtection="true">
      <alignment horizontal="righ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top" textRotation="0" wrapText="true" indent="0" shrinkToFit="false"/>
      <protection locked="true" hidden="false"/>
    </xf>
    <xf numFmtId="166" fontId="4" fillId="0" borderId="0" xfId="0" applyFont="true" applyBorder="false" applyAlignment="true" applyProtection="true">
      <alignment horizontal="right" vertical="top" textRotation="0" wrapText="true" indent="0" shrinkToFit="false"/>
      <protection locked="true" hidden="false"/>
    </xf>
    <xf numFmtId="168" fontId="9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0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10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5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4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9" fontId="4" fillId="0" borderId="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1" fillId="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0" xfId="0" applyFont="true" applyBorder="false" applyAlignment="true" applyProtection="true">
      <alignment horizontal="left" vertical="top" textRotation="0" wrapText="true" indent="0" shrinkToFit="false"/>
      <protection locked="true" hidden="false"/>
    </xf>
    <xf numFmtId="164" fontId="5" fillId="0" borderId="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5" fillId="0" borderId="5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0" borderId="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5" fillId="0" borderId="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0" fontId="5" fillId="0" borderId="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9" fontId="4" fillId="0" borderId="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5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0" fontId="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5" fillId="3" borderId="1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5" fillId="0" borderId="1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5" borderId="2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2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0" borderId="1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0" borderId="1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0" borderId="1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3" borderId="13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3" borderId="1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0" borderId="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0" borderId="1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6" fontId="12" fillId="0" borderId="1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5" borderId="5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2" fillId="0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6" fontId="12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14" fillId="2" borderId="1" xfId="0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71" fontId="14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8" fontId="14" fillId="2" borderId="1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14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2" fontId="14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14" fillId="2" borderId="1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2" fontId="5" fillId="6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6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5" fillId="6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5" fillId="6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16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5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3" fontId="5" fillId="0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5" fontId="5" fillId="5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5" fontId="5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70" fontId="5" fillId="5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6" fontId="5" fillId="5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73" fontId="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3" fillId="0" borderId="7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4" fillId="2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1" fontId="5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8" fontId="5" fillId="5" borderId="18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5" fillId="5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5" fillId="5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5" fillId="5" borderId="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5" fillId="6" borderId="2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5" fontId="5" fillId="5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5" fillId="5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2" fontId="5" fillId="5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3" fontId="5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73" fontId="5" fillId="5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6" fontId="5" fillId="5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2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5" fontId="5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70" fontId="14" fillId="2" borderId="1" xfId="0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71" fontId="5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5" fillId="5" borderId="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5" fillId="6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5" fillId="5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73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0" fontId="5" fillId="6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4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5" fillId="5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4" fillId="5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5" fontId="4" fillId="5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5" fontId="4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4" fillId="0" borderId="2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4" fillId="0" borderId="2" xfId="0" applyFont="true" applyBorder="true" applyAlignment="true" applyProtection="true">
      <alignment horizontal="general" vertical="top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65"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92D050"/>
        <sz val="11"/>
      </font>
    </dxf>
    <dxf>
      <font>
        <name val="Calibri"/>
        <charset val="1"/>
        <family val="0"/>
        <color rgb="FF92D05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92D05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  <sz val="11"/>
      </font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FFFFFF"/>
        <sz val="11"/>
      </font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000000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FFFFFF"/>
        <sz val="11"/>
      </font>
    </dxf>
    <dxf>
      <font>
        <name val="Calibri"/>
        <charset val="1"/>
        <family val="0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118"/>
      <rgbColor rgb="FF808000"/>
      <rgbColor rgb="FF800080"/>
      <rgbColor rgb="FF008080"/>
      <rgbColor rgb="FFC5E0B4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F3F76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D050"/>
    <pageSetUpPr fitToPage="false"/>
  </sheetPr>
  <dimension ref="A1:S483"/>
  <sheetViews>
    <sheetView showFormulas="false" showGridLines="false" showRowColHeaders="true" showZeros="true" rightToLeft="false" tabSelected="true" showOutlineSymbols="true" defaultGridColor="true" view="normal" topLeftCell="A1" colorId="64" zoomScale="55" zoomScaleNormal="55" zoomScalePageLayoutView="100" workbookViewId="0">
      <pane xSplit="3" ySplit="11" topLeftCell="D27" activePane="bottomRight" state="frozen"/>
      <selection pane="topLeft" activeCell="A1" activeCellId="0" sqref="A1"/>
      <selection pane="topRight" activeCell="D1" activeCellId="0" sqref="D1"/>
      <selection pane="bottomLeft" activeCell="A27" activeCellId="0" sqref="A27"/>
      <selection pane="bottomRight" activeCell="H30" activeCellId="0" sqref="H30:R30"/>
    </sheetView>
  </sheetViews>
  <sheetFormatPr defaultColWidth="8.96484375" defaultRowHeight="12.8" zeroHeight="false" outlineLevelRow="0" outlineLevelCol="0"/>
  <cols>
    <col collapsed="false" customWidth="true" hidden="false" outlineLevel="0" max="1" min="1" style="1" width="5.43"/>
    <col collapsed="false" customWidth="true" hidden="false" outlineLevel="0" max="2" min="2" style="1" width="30.55"/>
    <col collapsed="false" customWidth="true" hidden="false" outlineLevel="0" max="3" min="3" style="1" width="22.43"/>
    <col collapsed="false" customWidth="true" hidden="false" outlineLevel="0" max="4" min="4" style="1" width="18.1"/>
    <col collapsed="false" customWidth="true" hidden="false" outlineLevel="0" max="5" min="5" style="2" width="31.99"/>
    <col collapsed="false" customWidth="true" hidden="false" outlineLevel="0" max="6" min="6" style="1" width="25.55"/>
    <col collapsed="false" customWidth="true" hidden="false" outlineLevel="0" max="7" min="7" style="1" width="17.99"/>
    <col collapsed="false" customWidth="true" hidden="false" outlineLevel="0" max="8" min="8" style="1" width="28.33"/>
    <col collapsed="false" customWidth="true" hidden="false" outlineLevel="0" max="9" min="9" style="2" width="27.99"/>
    <col collapsed="false" customWidth="true" hidden="false" outlineLevel="0" max="10" min="10" style="2" width="28.43"/>
    <col collapsed="false" customWidth="true" hidden="false" outlineLevel="0" max="11" min="11" style="2" width="29.32"/>
    <col collapsed="false" customWidth="true" hidden="false" outlineLevel="0" max="12" min="12" style="2" width="31.55"/>
    <col collapsed="false" customWidth="true" hidden="false" outlineLevel="0" max="13" min="13" style="2" width="24.21"/>
    <col collapsed="false" customWidth="true" hidden="false" outlineLevel="0" max="14" min="14" style="3" width="26.99"/>
    <col collapsed="false" customWidth="true" hidden="false" outlineLevel="0" max="15" min="15" style="1" width="27.99"/>
    <col collapsed="false" customWidth="true" hidden="false" outlineLevel="0" max="16" min="16" style="2" width="30.43"/>
    <col collapsed="false" customWidth="true" hidden="false" outlineLevel="0" max="17" min="17" style="2" width="27.87"/>
    <col collapsed="false" customWidth="true" hidden="false" outlineLevel="0" max="18" min="18" style="1" width="28.43"/>
    <col collapsed="false" customWidth="true" hidden="false" outlineLevel="0" max="19" min="19" style="4" width="26.55"/>
    <col collapsed="false" customWidth="true" hidden="false" outlineLevel="0" max="20" min="20" style="1" width="9.1"/>
  </cols>
  <sheetData>
    <row r="1" customFormat="false" ht="12.8" hidden="false" customHeight="true" outlineLevel="0" collapsed="false">
      <c r="A1" s="5" t="s">
        <v>0</v>
      </c>
    </row>
    <row r="2" customFormat="false" ht="38" hidden="false" customHeight="true" outlineLevel="0" collapsed="false">
      <c r="B2" s="6" t="s">
        <v>1</v>
      </c>
      <c r="C2" s="7"/>
      <c r="D2" s="8" t="s">
        <v>2</v>
      </c>
      <c r="N2" s="9"/>
      <c r="Q2" s="10"/>
      <c r="R2" s="11"/>
      <c r="S2" s="12"/>
    </row>
    <row r="3" customFormat="false" ht="40" hidden="false" customHeight="true" outlineLevel="0" collapsed="false">
      <c r="B3" s="13" t="s">
        <v>3</v>
      </c>
      <c r="D3" s="14" t="s">
        <v>4</v>
      </c>
      <c r="E3" s="14"/>
      <c r="F3" s="14"/>
      <c r="G3" s="14"/>
      <c r="H3" s="14"/>
      <c r="I3" s="14"/>
      <c r="J3" s="14"/>
      <c r="K3" s="14"/>
    </row>
    <row r="4" customFormat="false" ht="40" hidden="false" customHeight="true" outlineLevel="0" collapsed="false">
      <c r="B4" s="15" t="s">
        <v>5</v>
      </c>
      <c r="D4" s="16" t="s">
        <v>6</v>
      </c>
      <c r="E4" s="17"/>
      <c r="F4" s="17"/>
      <c r="G4" s="17"/>
      <c r="H4" s="17"/>
      <c r="I4" s="17"/>
      <c r="J4" s="17"/>
      <c r="K4" s="17"/>
    </row>
    <row r="5" customFormat="false" ht="40" hidden="false" customHeight="true" outlineLevel="0" collapsed="false">
      <c r="B5" s="18" t="s">
        <v>7</v>
      </c>
      <c r="D5" s="19"/>
      <c r="E5" s="19"/>
      <c r="F5" s="19"/>
      <c r="G5" s="19"/>
      <c r="H5" s="19"/>
      <c r="I5" s="19"/>
      <c r="J5" s="19"/>
      <c r="K5" s="19"/>
      <c r="L5" s="20" t="n">
        <f aca="false">+D5</f>
        <v>0</v>
      </c>
      <c r="M5" s="20"/>
      <c r="N5" s="20"/>
      <c r="O5" s="20"/>
      <c r="P5" s="20"/>
      <c r="Q5" s="20"/>
      <c r="R5" s="20"/>
    </row>
    <row r="6" customFormat="false" ht="40" hidden="false" customHeight="true" outlineLevel="0" collapsed="false">
      <c r="B6" s="21" t="s">
        <v>8</v>
      </c>
      <c r="C6" s="22"/>
      <c r="D6" s="23" t="s">
        <v>9</v>
      </c>
      <c r="E6" s="24"/>
      <c r="F6" s="25"/>
      <c r="G6" s="25"/>
      <c r="I6" s="1"/>
      <c r="J6" s="1"/>
      <c r="K6" s="1"/>
      <c r="M6" s="26"/>
    </row>
    <row r="7" customFormat="false" ht="23" hidden="false" customHeight="true" outlineLevel="0" collapsed="false">
      <c r="B7" s="27"/>
      <c r="C7" s="28"/>
      <c r="D7" s="29" t="s">
        <v>10</v>
      </c>
      <c r="E7" s="29"/>
      <c r="F7" s="30"/>
      <c r="G7" s="30"/>
      <c r="H7" s="31" t="s">
        <v>11</v>
      </c>
      <c r="I7" s="32" t="s">
        <v>12</v>
      </c>
      <c r="J7" s="32" t="s">
        <v>13</v>
      </c>
      <c r="K7" s="33" t="s">
        <v>14</v>
      </c>
      <c r="L7" s="34"/>
      <c r="M7" s="35"/>
      <c r="N7" s="36"/>
      <c r="O7" s="27"/>
      <c r="P7" s="34"/>
      <c r="Q7" s="34"/>
      <c r="R7" s="27"/>
    </row>
    <row r="8" customFormat="false" ht="12.8" hidden="false" customHeight="true" outlineLevel="0" collapsed="false">
      <c r="B8" s="27"/>
      <c r="C8" s="28"/>
      <c r="D8" s="29"/>
      <c r="E8" s="29"/>
      <c r="F8" s="30"/>
      <c r="G8" s="30"/>
      <c r="H8" s="31"/>
      <c r="I8" s="37" t="n">
        <f aca="false">IF(F14=0,0,E14/F14)</f>
        <v>1</v>
      </c>
      <c r="J8" s="37" t="n">
        <f aca="false">+I14-I8</f>
        <v>122</v>
      </c>
      <c r="K8" s="38" t="n">
        <f aca="false">IF(I8=0,0,(I14-I8)/I8)</f>
        <v>122</v>
      </c>
      <c r="L8" s="34"/>
      <c r="M8" s="35"/>
      <c r="N8" s="36"/>
      <c r="O8" s="27"/>
      <c r="P8" s="34"/>
      <c r="Q8" s="34"/>
      <c r="R8" s="27"/>
    </row>
    <row r="9" customFormat="false" ht="9" hidden="false" customHeight="true" outlineLevel="0" collapsed="false">
      <c r="B9" s="27"/>
      <c r="C9" s="28"/>
      <c r="D9" s="39"/>
      <c r="E9" s="40"/>
      <c r="F9" s="30"/>
      <c r="G9" s="30"/>
      <c r="H9" s="41"/>
      <c r="I9" s="42"/>
      <c r="J9" s="42"/>
      <c r="K9" s="42"/>
      <c r="L9" s="43"/>
      <c r="M9" s="35"/>
      <c r="N9" s="36"/>
      <c r="O9" s="27"/>
      <c r="P9" s="34"/>
      <c r="Q9" s="34"/>
      <c r="R9" s="27"/>
    </row>
    <row r="10" s="3" customFormat="true" ht="43" hidden="false" customHeight="true" outlineLevel="0" collapsed="false">
      <c r="B10" s="44"/>
      <c r="C10" s="44"/>
      <c r="D10" s="45" t="s">
        <v>15</v>
      </c>
      <c r="E10" s="45"/>
      <c r="F10" s="45"/>
      <c r="G10" s="45"/>
      <c r="H10" s="46" t="s">
        <v>16</v>
      </c>
      <c r="I10" s="46"/>
      <c r="J10" s="47" t="s">
        <v>17</v>
      </c>
      <c r="K10" s="47"/>
      <c r="L10" s="47" t="s">
        <v>18</v>
      </c>
      <c r="M10" s="47"/>
      <c r="N10" s="47"/>
      <c r="O10" s="47"/>
      <c r="P10" s="47"/>
      <c r="Q10" s="47"/>
      <c r="R10" s="47"/>
    </row>
    <row r="11" s="48" customFormat="true" ht="100" hidden="false" customHeight="true" outlineLevel="0" collapsed="false">
      <c r="B11" s="49" t="s">
        <v>19</v>
      </c>
      <c r="C11" s="50" t="s">
        <v>20</v>
      </c>
      <c r="D11" s="51" t="s">
        <v>21</v>
      </c>
      <c r="E11" s="52" t="s">
        <v>22</v>
      </c>
      <c r="F11" s="53" t="s">
        <v>23</v>
      </c>
      <c r="G11" s="53" t="s">
        <v>24</v>
      </c>
      <c r="H11" s="54" t="s">
        <v>25</v>
      </c>
      <c r="I11" s="55" t="s">
        <v>26</v>
      </c>
      <c r="J11" s="56" t="s">
        <v>27</v>
      </c>
      <c r="K11" s="52" t="s">
        <v>28</v>
      </c>
      <c r="L11" s="52" t="s">
        <v>29</v>
      </c>
      <c r="M11" s="52" t="s">
        <v>30</v>
      </c>
      <c r="N11" s="57" t="s">
        <v>31</v>
      </c>
      <c r="O11" s="57" t="s">
        <v>32</v>
      </c>
      <c r="P11" s="56" t="s">
        <v>33</v>
      </c>
      <c r="Q11" s="52" t="s">
        <v>34</v>
      </c>
      <c r="R11" s="58" t="s">
        <v>35</v>
      </c>
    </row>
    <row r="12" s="48" customFormat="true" ht="41" hidden="false" customHeight="true" outlineLevel="0" collapsed="false">
      <c r="B12" s="59"/>
      <c r="C12" s="60"/>
      <c r="D12" s="61"/>
      <c r="E12" s="62"/>
      <c r="F12" s="61"/>
      <c r="G12" s="61"/>
      <c r="H12" s="62"/>
      <c r="I12" s="62"/>
      <c r="J12" s="62"/>
      <c r="K12" s="62"/>
      <c r="L12" s="62"/>
      <c r="M12" s="62"/>
      <c r="N12" s="61"/>
      <c r="O12" s="61"/>
      <c r="P12" s="62"/>
      <c r="Q12" s="62"/>
      <c r="R12" s="63"/>
    </row>
    <row r="13" customFormat="false" ht="25" hidden="false" customHeight="true" outlineLevel="0" collapsed="false">
      <c r="B13" s="64" t="s">
        <v>36</v>
      </c>
      <c r="C13" s="64"/>
      <c r="D13" s="36"/>
      <c r="E13" s="42"/>
      <c r="F13" s="27"/>
      <c r="G13" s="36"/>
      <c r="H13" s="27"/>
      <c r="I13" s="27"/>
      <c r="J13" s="41"/>
      <c r="K13" s="41"/>
      <c r="L13" s="27"/>
      <c r="M13" s="41"/>
      <c r="N13" s="41"/>
      <c r="O13" s="41"/>
      <c r="P13" s="41"/>
      <c r="Q13" s="41"/>
      <c r="R13" s="41"/>
      <c r="S13" s="65"/>
    </row>
    <row r="14" s="66" customFormat="true" ht="24" hidden="false" customHeight="true" outlineLevel="0" collapsed="false">
      <c r="B14" s="67" t="n">
        <v>123</v>
      </c>
      <c r="C14" s="68"/>
      <c r="D14" s="69" t="n">
        <v>0.004</v>
      </c>
      <c r="E14" s="70" t="n">
        <v>123</v>
      </c>
      <c r="F14" s="71" t="n">
        <v>123</v>
      </c>
      <c r="G14" s="72" t="n">
        <v>0.12</v>
      </c>
      <c r="H14" s="73" t="n">
        <v>14.76</v>
      </c>
      <c r="I14" s="74" t="n">
        <v>123</v>
      </c>
      <c r="J14" s="74" t="n">
        <v>1808.21808</v>
      </c>
      <c r="K14" s="74" t="n">
        <v>1793.45808</v>
      </c>
      <c r="L14" s="74" t="n">
        <v>1815.48</v>
      </c>
      <c r="M14" s="74" t="n">
        <v>7.26192</v>
      </c>
      <c r="N14" s="75" t="n">
        <v>122.508</v>
      </c>
      <c r="O14" s="75" t="n">
        <v>121.508</v>
      </c>
      <c r="P14" s="74" t="n">
        <v>1800.72</v>
      </c>
      <c r="Q14" s="74" t="n">
        <v>108.24</v>
      </c>
      <c r="R14" s="76" t="n">
        <v>108.24</v>
      </c>
    </row>
    <row r="15" customFormat="false" ht="41" hidden="false" customHeight="true" outlineLevel="0" collapsed="false">
      <c r="B15" s="77"/>
      <c r="C15" s="77"/>
      <c r="D15" s="78"/>
      <c r="E15" s="79"/>
      <c r="F15" s="80"/>
      <c r="G15" s="81"/>
      <c r="H15" s="82"/>
      <c r="I15" s="82"/>
      <c r="J15" s="82"/>
      <c r="K15" s="83"/>
      <c r="L15" s="83"/>
      <c r="M15" s="83"/>
      <c r="N15" s="84"/>
      <c r="O15" s="84"/>
      <c r="P15" s="83"/>
      <c r="Q15" s="82"/>
      <c r="R15" s="85"/>
      <c r="S15" s="1"/>
    </row>
    <row r="16" s="86" customFormat="true" ht="41" hidden="false" customHeight="true" outlineLevel="0" collapsed="false">
      <c r="B16" s="87"/>
      <c r="C16" s="87"/>
      <c r="D16" s="88"/>
      <c r="E16" s="41"/>
      <c r="F16" s="89"/>
      <c r="G16" s="90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</row>
    <row r="17" s="86" customFormat="true" ht="45" hidden="false" customHeight="true" outlineLevel="0" collapsed="false">
      <c r="B17" s="91" t="s">
        <v>37</v>
      </c>
      <c r="C17" s="91"/>
      <c r="D17" s="88"/>
      <c r="E17" s="41"/>
      <c r="F17" s="89"/>
      <c r="G17" s="90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</row>
    <row r="18" s="92" customFormat="true" ht="24" hidden="false" customHeight="true" outlineLevel="0" collapsed="false">
      <c r="B18" s="93"/>
      <c r="C18" s="94" t="str">
        <f aca="false">IF($C$14=0,"",$C$14)</f>
        <v/>
      </c>
      <c r="D18" s="95"/>
      <c r="E18" s="96"/>
      <c r="F18" s="97"/>
      <c r="G18" s="98"/>
      <c r="H18" s="73"/>
      <c r="I18" s="99"/>
      <c r="J18" s="74"/>
      <c r="K18" s="74"/>
      <c r="L18" s="74"/>
      <c r="M18" s="74"/>
      <c r="N18" s="75"/>
      <c r="O18" s="75"/>
      <c r="P18" s="74"/>
      <c r="Q18" s="74"/>
      <c r="R18" s="76"/>
    </row>
    <row r="19" customFormat="false" ht="42" hidden="false" customHeight="true" outlineLevel="0" collapsed="false">
      <c r="B19" s="100" t="s">
        <v>38</v>
      </c>
      <c r="C19" s="100"/>
      <c r="D19" s="101"/>
      <c r="E19" s="102"/>
      <c r="F19" s="103"/>
      <c r="G19" s="104"/>
      <c r="H19" s="82"/>
      <c r="I19" s="83"/>
      <c r="J19" s="83"/>
      <c r="K19" s="83"/>
      <c r="L19" s="83"/>
      <c r="M19" s="83"/>
      <c r="N19" s="105"/>
      <c r="O19" s="84"/>
      <c r="P19" s="83"/>
      <c r="Q19" s="102"/>
      <c r="R19" s="106"/>
      <c r="S19" s="1"/>
    </row>
    <row r="20" customFormat="false" ht="45" hidden="false" customHeight="true" outlineLevel="0" collapsed="false">
      <c r="B20" s="27"/>
      <c r="C20" s="27"/>
      <c r="D20" s="36"/>
      <c r="E20" s="42"/>
      <c r="F20" s="107"/>
      <c r="G20" s="41"/>
      <c r="H20" s="41"/>
      <c r="I20" s="41"/>
      <c r="J20" s="41"/>
      <c r="K20" s="41"/>
      <c r="L20" s="41"/>
      <c r="M20" s="41"/>
      <c r="N20" s="41"/>
      <c r="O20" s="108"/>
      <c r="P20" s="41"/>
      <c r="Q20" s="41"/>
      <c r="R20" s="41"/>
      <c r="S20" s="1"/>
    </row>
    <row r="21" customFormat="false" ht="45" hidden="false" customHeight="true" outlineLevel="0" collapsed="false">
      <c r="B21" s="91" t="s">
        <v>39</v>
      </c>
      <c r="C21" s="91"/>
      <c r="D21" s="36"/>
      <c r="E21" s="42"/>
      <c r="F21" s="107"/>
      <c r="G21" s="41"/>
      <c r="H21" s="41"/>
      <c r="I21" s="41"/>
      <c r="J21" s="41"/>
      <c r="K21" s="41"/>
      <c r="L21" s="41"/>
      <c r="M21" s="41"/>
      <c r="N21" s="41"/>
      <c r="O21" s="108"/>
      <c r="P21" s="41"/>
      <c r="Q21" s="41"/>
      <c r="R21" s="41"/>
      <c r="S21" s="1"/>
    </row>
    <row r="22" s="66" customFormat="true" ht="24" hidden="false" customHeight="true" outlineLevel="0" collapsed="false">
      <c r="B22" s="109"/>
      <c r="C22" s="110" t="str">
        <f aca="false">IF($C$14=0,"",$C$14)</f>
        <v/>
      </c>
      <c r="D22" s="111"/>
      <c r="E22" s="96"/>
      <c r="F22" s="97"/>
      <c r="G22" s="98"/>
      <c r="H22" s="73"/>
      <c r="I22" s="99"/>
      <c r="J22" s="112"/>
      <c r="K22" s="74"/>
      <c r="L22" s="74"/>
      <c r="M22" s="74"/>
      <c r="N22" s="75"/>
      <c r="O22" s="75"/>
      <c r="P22" s="74"/>
      <c r="Q22" s="74"/>
      <c r="R22" s="76"/>
    </row>
    <row r="23" customFormat="false" ht="42" hidden="false" customHeight="true" outlineLevel="0" collapsed="false">
      <c r="B23" s="100" t="s">
        <v>38</v>
      </c>
      <c r="C23" s="100"/>
      <c r="D23" s="113"/>
      <c r="E23" s="102"/>
      <c r="F23" s="103"/>
      <c r="G23" s="104"/>
      <c r="H23" s="82"/>
      <c r="I23" s="83"/>
      <c r="J23" s="82"/>
      <c r="K23" s="83"/>
      <c r="L23" s="83"/>
      <c r="M23" s="83"/>
      <c r="N23" s="83"/>
      <c r="O23" s="84"/>
      <c r="P23" s="114"/>
      <c r="Q23" s="102"/>
      <c r="R23" s="106"/>
      <c r="S23" s="1"/>
    </row>
    <row r="24" customFormat="false" ht="12.8" hidden="false" customHeight="true" outlineLevel="0" collapsed="false">
      <c r="B24" s="27"/>
      <c r="C24" s="27"/>
      <c r="D24" s="42"/>
      <c r="E24" s="42"/>
      <c r="F24" s="107"/>
      <c r="G24" s="115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1"/>
    </row>
    <row r="25" customFormat="false" ht="25" hidden="false" customHeight="true" outlineLevel="0" collapsed="false">
      <c r="B25" s="91" t="s">
        <v>40</v>
      </c>
      <c r="C25" s="91"/>
      <c r="D25" s="42"/>
      <c r="E25" s="42"/>
      <c r="F25" s="107"/>
      <c r="G25" s="115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1"/>
    </row>
    <row r="26" s="92" customFormat="true" ht="24" hidden="false" customHeight="true" outlineLevel="0" collapsed="false">
      <c r="B26" s="70"/>
      <c r="C26" s="110" t="str">
        <f aca="false">IF($C$14=0,"",$C$14)</f>
        <v/>
      </c>
      <c r="D26" s="111"/>
      <c r="E26" s="96"/>
      <c r="F26" s="97"/>
      <c r="G26" s="98"/>
      <c r="H26" s="73"/>
      <c r="I26" s="99"/>
      <c r="J26" s="74"/>
      <c r="K26" s="74"/>
      <c r="L26" s="99"/>
      <c r="M26" s="74"/>
      <c r="N26" s="75"/>
      <c r="O26" s="75"/>
      <c r="P26" s="74"/>
      <c r="Q26" s="74"/>
      <c r="R26" s="76"/>
    </row>
    <row r="27" customFormat="false" ht="41" hidden="false" customHeight="true" outlineLevel="0" collapsed="false">
      <c r="B27" s="100" t="s">
        <v>41</v>
      </c>
      <c r="C27" s="100"/>
      <c r="D27" s="113"/>
      <c r="E27" s="102"/>
      <c r="F27" s="103"/>
      <c r="G27" s="104"/>
      <c r="H27" s="82"/>
      <c r="I27" s="83"/>
      <c r="J27" s="82"/>
      <c r="K27" s="83"/>
      <c r="L27" s="83"/>
      <c r="M27" s="83"/>
      <c r="N27" s="105"/>
      <c r="O27" s="84"/>
      <c r="P27" s="83"/>
      <c r="Q27" s="102"/>
      <c r="R27" s="106"/>
      <c r="S27" s="1"/>
    </row>
    <row r="28" customFormat="false" ht="45" hidden="false" customHeight="true" outlineLevel="0" collapsed="false">
      <c r="B28" s="27"/>
      <c r="C28" s="27"/>
      <c r="D28" s="36"/>
      <c r="E28" s="42"/>
      <c r="F28" s="107"/>
      <c r="G28" s="90"/>
      <c r="H28" s="78"/>
      <c r="I28" s="78"/>
      <c r="J28" s="79"/>
      <c r="K28" s="79"/>
      <c r="L28" s="78"/>
      <c r="M28" s="78"/>
      <c r="N28" s="79"/>
      <c r="O28" s="78"/>
      <c r="P28" s="78"/>
      <c r="Q28" s="42"/>
      <c r="R28" s="116"/>
      <c r="S28" s="1"/>
    </row>
    <row r="29" customFormat="false" ht="45" hidden="false" customHeight="true" outlineLevel="0" collapsed="false">
      <c r="B29" s="91" t="s">
        <v>42</v>
      </c>
      <c r="C29" s="91"/>
      <c r="D29" s="36"/>
      <c r="E29" s="42"/>
      <c r="F29" s="107"/>
      <c r="G29" s="90"/>
      <c r="H29" s="78"/>
      <c r="I29" s="78"/>
      <c r="J29" s="79"/>
      <c r="K29" s="79"/>
      <c r="L29" s="78"/>
      <c r="M29" s="78"/>
      <c r="N29" s="79"/>
      <c r="O29" s="78"/>
      <c r="P29" s="78"/>
      <c r="Q29" s="42"/>
      <c r="R29" s="116"/>
      <c r="S29" s="1"/>
    </row>
    <row r="30" s="92" customFormat="true" ht="24" hidden="false" customHeight="true" outlineLevel="0" collapsed="false">
      <c r="B30" s="109"/>
      <c r="C30" s="110" t="str">
        <f aca="false">IF($C$14=0,"",$C$14)</f>
        <v/>
      </c>
      <c r="D30" s="111"/>
      <c r="E30" s="96"/>
      <c r="F30" s="97"/>
      <c r="G30" s="98"/>
      <c r="H30" s="73"/>
      <c r="I30" s="99"/>
      <c r="J30" s="74"/>
      <c r="K30" s="74"/>
      <c r="L30" s="99"/>
      <c r="M30" s="74"/>
      <c r="N30" s="75"/>
      <c r="O30" s="117"/>
      <c r="P30" s="74"/>
      <c r="Q30" s="74"/>
      <c r="R30" s="76"/>
    </row>
    <row r="31" customFormat="false" ht="42" hidden="false" customHeight="true" outlineLevel="0" collapsed="false">
      <c r="B31" s="100" t="s">
        <v>41</v>
      </c>
      <c r="C31" s="100"/>
      <c r="D31" s="113"/>
      <c r="E31" s="102"/>
      <c r="F31" s="103"/>
      <c r="G31" s="79"/>
      <c r="H31" s="82"/>
      <c r="I31" s="83"/>
      <c r="J31" s="82"/>
      <c r="K31" s="83"/>
      <c r="L31" s="83"/>
      <c r="M31" s="83"/>
      <c r="N31" s="105"/>
      <c r="O31" s="83"/>
      <c r="P31" s="83"/>
      <c r="Q31" s="102"/>
      <c r="R31" s="106"/>
      <c r="S31" s="1"/>
    </row>
    <row r="32" customFormat="false" ht="24" hidden="false" customHeight="true" outlineLevel="0" collapsed="false">
      <c r="B32" s="2"/>
      <c r="C32" s="2"/>
      <c r="D32" s="118"/>
      <c r="E32" s="118"/>
      <c r="F32" s="119"/>
      <c r="G32" s="120"/>
      <c r="H32" s="121"/>
      <c r="I32" s="122"/>
      <c r="J32" s="122"/>
      <c r="K32" s="122"/>
      <c r="L32" s="121"/>
      <c r="M32" s="121"/>
      <c r="N32" s="123"/>
      <c r="O32" s="121"/>
      <c r="P32" s="118"/>
      <c r="Q32" s="118"/>
      <c r="S32" s="1"/>
    </row>
    <row r="33" customFormat="false" ht="24" hidden="false" customHeight="true" outlineLevel="0" collapsed="false">
      <c r="A33" s="124" t="s">
        <v>43</v>
      </c>
      <c r="B33" s="26" t="s">
        <v>44</v>
      </c>
      <c r="C33" s="26" t="s">
        <v>45</v>
      </c>
      <c r="D33" s="125" t="s">
        <v>46</v>
      </c>
      <c r="E33" s="125" t="s">
        <v>47</v>
      </c>
      <c r="F33" s="119" t="s">
        <v>48</v>
      </c>
      <c r="G33" s="126" t="s">
        <v>49</v>
      </c>
      <c r="H33" s="121" t="s">
        <v>50</v>
      </c>
      <c r="I33" s="122" t="s">
        <v>51</v>
      </c>
      <c r="J33" s="122" t="s">
        <v>52</v>
      </c>
      <c r="K33" s="122" t="s">
        <v>53</v>
      </c>
      <c r="L33" s="121" t="s">
        <v>54</v>
      </c>
      <c r="M33" s="121" t="s">
        <v>55</v>
      </c>
      <c r="N33" s="123" t="s">
        <v>56</v>
      </c>
      <c r="O33" s="121" t="s">
        <v>57</v>
      </c>
      <c r="P33" s="125" t="s">
        <v>58</v>
      </c>
      <c r="Q33" s="125" t="s">
        <v>59</v>
      </c>
      <c r="R33" s="86" t="s">
        <v>60</v>
      </c>
      <c r="S33" s="1"/>
    </row>
    <row r="34" customFormat="false" ht="126" hidden="false" customHeight="true" outlineLevel="0" collapsed="false">
      <c r="A34" s="124" t="n">
        <v>2</v>
      </c>
      <c r="B34" s="127" t="str">
        <f aca="false">B2</f>
        <v>Color Key</v>
      </c>
      <c r="C34" s="127" t="n">
        <f aca="false">C2</f>
        <v>0</v>
      </c>
      <c r="D34" s="127" t="str">
        <f aca="false">D2</f>
        <v>Crypto Wiz Guy™ presents The online 5-Way Cryptocurrency Selling-for-Profit Calculator</v>
      </c>
      <c r="E34" s="127" t="n">
        <f aca="false">E2</f>
        <v>0</v>
      </c>
      <c r="F34" s="127" t="n">
        <f aca="false">F2</f>
        <v>0</v>
      </c>
      <c r="G34" s="127" t="n">
        <f aca="false">G2</f>
        <v>0</v>
      </c>
      <c r="H34" s="127" t="n">
        <f aca="false">H2</f>
        <v>0</v>
      </c>
      <c r="I34" s="127" t="n">
        <f aca="false">I2</f>
        <v>0</v>
      </c>
      <c r="J34" s="127" t="n">
        <f aca="false">J2</f>
        <v>0</v>
      </c>
      <c r="K34" s="127" t="n">
        <f aca="false">K2</f>
        <v>0</v>
      </c>
      <c r="L34" s="127" t="n">
        <f aca="false">L2</f>
        <v>0</v>
      </c>
      <c r="M34" s="127" t="n">
        <f aca="false">M2</f>
        <v>0</v>
      </c>
      <c r="N34" s="127" t="n">
        <f aca="false">N2</f>
        <v>0</v>
      </c>
      <c r="O34" s="127" t="n">
        <f aca="false">O2</f>
        <v>0</v>
      </c>
      <c r="P34" s="127" t="n">
        <f aca="false">P2</f>
        <v>0</v>
      </c>
      <c r="Q34" s="127" t="n">
        <f aca="false">Q2</f>
        <v>0</v>
      </c>
      <c r="R34" s="127" t="n">
        <f aca="false">R2</f>
        <v>0</v>
      </c>
      <c r="S34" s="1"/>
    </row>
    <row r="35" customFormat="false" ht="252" hidden="false" customHeight="true" outlineLevel="0" collapsed="false">
      <c r="A35" s="124" t="n">
        <v>3</v>
      </c>
      <c r="B35" s="127" t="str">
        <f aca="false">B3</f>
        <v>Unlocked user input area</v>
      </c>
      <c r="C35" s="127" t="n">
        <f aca="false">C3</f>
        <v>0</v>
      </c>
      <c r="D35" s="127" t="str">
        <f aca="false">D3</f>
        <v>This spreadsheet helps Coinbase crypto sellers make informed decisions about breaking even, how much they can take to the bank or reinvest, and how much profit or loss to expect.</v>
      </c>
      <c r="E35" s="127" t="n">
        <f aca="false">E3</f>
        <v>0</v>
      </c>
      <c r="F35" s="127" t="n">
        <f aca="false">F3</f>
        <v>0</v>
      </c>
      <c r="G35" s="127" t="n">
        <f aca="false">G3</f>
        <v>0</v>
      </c>
      <c r="H35" s="127" t="n">
        <f aca="false">H3</f>
        <v>0</v>
      </c>
      <c r="I35" s="127" t="n">
        <f aca="false">I3</f>
        <v>0</v>
      </c>
      <c r="J35" s="127" t="n">
        <f aca="false">J3</f>
        <v>0</v>
      </c>
      <c r="K35" s="127" t="n">
        <f aca="false">K3</f>
        <v>0</v>
      </c>
      <c r="L35" s="127" t="n">
        <f aca="false">L3</f>
        <v>0</v>
      </c>
      <c r="M35" s="127" t="n">
        <f aca="false">M3</f>
        <v>0</v>
      </c>
      <c r="N35" s="127" t="n">
        <f aca="false">N3</f>
        <v>0</v>
      </c>
      <c r="O35" s="127" t="n">
        <f aca="false">O3</f>
        <v>0</v>
      </c>
      <c r="P35" s="127" t="n">
        <f aca="false">P3</f>
        <v>0</v>
      </c>
      <c r="Q35" s="127" t="n">
        <f aca="false">Q3</f>
        <v>0</v>
      </c>
      <c r="R35" s="127" t="n">
        <f aca="false">R3</f>
        <v>0</v>
      </c>
    </row>
    <row r="36" customFormat="false" ht="126" hidden="false" customHeight="true" outlineLevel="0" collapsed="false">
      <c r="A36" s="124" t="n">
        <v>4</v>
      </c>
      <c r="B36" s="127" t="str">
        <f aca="false">B4</f>
        <v>Locked area</v>
      </c>
      <c r="C36" s="127" t="n">
        <f aca="false">C4</f>
        <v>0</v>
      </c>
      <c r="D36" s="127" t="str">
        <f aca="false">D4</f>
        <v>Calculations are unrounded and their values may extend to more than the decimal places shown.</v>
      </c>
      <c r="E36" s="127" t="n">
        <f aca="false">E4</f>
        <v>0</v>
      </c>
      <c r="F36" s="127" t="n">
        <f aca="false">F4</f>
        <v>0</v>
      </c>
      <c r="G36" s="127" t="n">
        <f aca="false">G4</f>
        <v>0</v>
      </c>
      <c r="H36" s="127" t="n">
        <f aca="false">H4</f>
        <v>0</v>
      </c>
      <c r="I36" s="127" t="n">
        <f aca="false">I4</f>
        <v>0</v>
      </c>
      <c r="J36" s="127" t="n">
        <f aca="false">J4</f>
        <v>0</v>
      </c>
      <c r="K36" s="127" t="n">
        <f aca="false">K4</f>
        <v>0</v>
      </c>
      <c r="L36" s="127" t="n">
        <f aca="false">L4</f>
        <v>0</v>
      </c>
      <c r="M36" s="127" t="n">
        <f aca="false">M4</f>
        <v>0</v>
      </c>
      <c r="N36" s="127" t="n">
        <f aca="false">N4</f>
        <v>0</v>
      </c>
      <c r="O36" s="127" t="n">
        <f aca="false">O4</f>
        <v>0</v>
      </c>
      <c r="P36" s="127" t="n">
        <f aca="false">P4</f>
        <v>0</v>
      </c>
      <c r="Q36" s="127" t="n">
        <f aca="false">Q4</f>
        <v>0</v>
      </c>
      <c r="R36" s="127" t="n">
        <f aca="false">R4</f>
        <v>0</v>
      </c>
    </row>
    <row r="37" customFormat="false" ht="18" hidden="false" customHeight="true" outlineLevel="0" collapsed="false">
      <c r="A37" s="124" t="n">
        <v>5</v>
      </c>
      <c r="B37" s="127" t="str">
        <f aca="false">B5</f>
        <v>Locked output area</v>
      </c>
      <c r="C37" s="127" t="n">
        <f aca="false">C5</f>
        <v>0</v>
      </c>
      <c r="D37" s="127" t="n">
        <f aca="false">D5</f>
        <v>0</v>
      </c>
      <c r="E37" s="127" t="n">
        <f aca="false">E5</f>
        <v>0</v>
      </c>
      <c r="F37" s="127" t="n">
        <f aca="false">F5</f>
        <v>0</v>
      </c>
      <c r="G37" s="127" t="n">
        <f aca="false">G5</f>
        <v>0</v>
      </c>
      <c r="H37" s="127" t="n">
        <f aca="false">H5</f>
        <v>0</v>
      </c>
      <c r="I37" s="127" t="n">
        <f aca="false">I5</f>
        <v>0</v>
      </c>
      <c r="J37" s="127" t="n">
        <f aca="false">J5</f>
        <v>0</v>
      </c>
      <c r="K37" s="127" t="n">
        <f aca="false">K5</f>
        <v>0</v>
      </c>
      <c r="L37" s="127" t="n">
        <f aca="false">L5</f>
        <v>0</v>
      </c>
      <c r="M37" s="127" t="n">
        <f aca="false">M5</f>
        <v>0</v>
      </c>
      <c r="N37" s="127" t="n">
        <f aca="false">N5</f>
        <v>0</v>
      </c>
      <c r="O37" s="127" t="n">
        <f aca="false">O5</f>
        <v>0</v>
      </c>
      <c r="P37" s="127" t="n">
        <f aca="false">P5</f>
        <v>0</v>
      </c>
      <c r="Q37" s="127" t="n">
        <f aca="false">Q5</f>
        <v>0</v>
      </c>
      <c r="R37" s="127" t="n">
        <f aca="false">R5</f>
        <v>0</v>
      </c>
    </row>
    <row r="38" customFormat="false" ht="54" hidden="false" customHeight="true" outlineLevel="0" collapsed="false">
      <c r="A38" s="124" t="n">
        <v>6</v>
      </c>
      <c r="B38" s="127" t="str">
        <f aca="false">B6</f>
        <v>Action message</v>
      </c>
      <c r="C38" s="127" t="n">
        <f aca="false">C6</f>
        <v>0</v>
      </c>
      <c r="D38" s="127" t="str">
        <f aca="false">D6</f>
        <v>© 2023 by Crypto Wiz Guy™</v>
      </c>
      <c r="E38" s="127" t="n">
        <f aca="false">E6</f>
        <v>0</v>
      </c>
      <c r="F38" s="127" t="n">
        <f aca="false">F6</f>
        <v>0</v>
      </c>
      <c r="G38" s="127" t="n">
        <f aca="false">G6</f>
        <v>0</v>
      </c>
      <c r="H38" s="127" t="n">
        <f aca="false">H6</f>
        <v>0</v>
      </c>
      <c r="I38" s="127" t="n">
        <f aca="false">I6</f>
        <v>0</v>
      </c>
      <c r="J38" s="127" t="n">
        <f aca="false">J6</f>
        <v>0</v>
      </c>
      <c r="K38" s="127" t="n">
        <f aca="false">K6</f>
        <v>0</v>
      </c>
      <c r="L38" s="127" t="n">
        <f aca="false">L6</f>
        <v>0</v>
      </c>
      <c r="M38" s="127" t="n">
        <f aca="false">M6</f>
        <v>0</v>
      </c>
      <c r="N38" s="127" t="n">
        <f aca="false">N6</f>
        <v>0</v>
      </c>
      <c r="O38" s="127" t="n">
        <f aca="false">O6</f>
        <v>0</v>
      </c>
      <c r="P38" s="127" t="n">
        <f aca="false">P6</f>
        <v>0</v>
      </c>
      <c r="Q38" s="127" t="n">
        <f aca="false">Q6</f>
        <v>0</v>
      </c>
      <c r="R38" s="127" t="n">
        <f aca="false">R6</f>
        <v>0</v>
      </c>
    </row>
    <row r="39" customFormat="false" ht="36" hidden="false" customHeight="true" outlineLevel="0" collapsed="false">
      <c r="A39" s="124" t="n">
        <v>7</v>
      </c>
      <c r="B39" s="127" t="n">
        <f aca="false">B7</f>
        <v>0</v>
      </c>
      <c r="C39" s="127" t="n">
        <f aca="false">C7</f>
        <v>0</v>
      </c>
      <c r="D39" s="127" t="str">
        <f aca="false">D7</f>
        <v>Ctrl+Shift+p to save PDF</v>
      </c>
      <c r="E39" s="127" t="n">
        <f aca="false">E7</f>
        <v>0</v>
      </c>
      <c r="F39" s="127" t="n">
        <f aca="false">F7</f>
        <v>0</v>
      </c>
      <c r="G39" s="127" t="n">
        <f aca="false">G7</f>
        <v>0</v>
      </c>
      <c r="H39" s="127" t="str">
        <f aca="false">H7</f>
        <v>Before sale, from row 14</v>
      </c>
      <c r="I39" s="127" t="str">
        <f aca="false">I7</f>
        <v>Bought at</v>
      </c>
      <c r="J39" s="127" t="str">
        <f aca="false">J7</f>
        <v>Difference</v>
      </c>
      <c r="K39" s="127" t="str">
        <f aca="false">K7</f>
        <v>Change %</v>
      </c>
      <c r="L39" s="127" t="n">
        <f aca="false">L7</f>
        <v>0</v>
      </c>
      <c r="M39" s="127" t="n">
        <f aca="false">M7</f>
        <v>0</v>
      </c>
      <c r="N39" s="127" t="n">
        <f aca="false">N7</f>
        <v>0</v>
      </c>
      <c r="O39" s="127" t="n">
        <f aca="false">O7</f>
        <v>0</v>
      </c>
      <c r="P39" s="127" t="n">
        <f aca="false">P7</f>
        <v>0</v>
      </c>
      <c r="Q39" s="127" t="n">
        <f aca="false">Q7</f>
        <v>0</v>
      </c>
      <c r="R39" s="127" t="n">
        <f aca="false">R7</f>
        <v>0</v>
      </c>
    </row>
    <row r="40" customFormat="false" ht="18" hidden="false" customHeight="true" outlineLevel="0" collapsed="false">
      <c r="A40" s="124" t="n">
        <v>8</v>
      </c>
      <c r="B40" s="128" t="s">
        <v>61</v>
      </c>
      <c r="C40" s="128" t="s">
        <v>61</v>
      </c>
      <c r="D40" s="128" t="s">
        <v>61</v>
      </c>
      <c r="E40" s="128" t="s">
        <v>61</v>
      </c>
      <c r="F40" s="128" t="s">
        <v>61</v>
      </c>
      <c r="G40" s="128" t="s">
        <v>61</v>
      </c>
      <c r="H40" s="128" t="s">
        <v>61</v>
      </c>
      <c r="I40" s="128" t="s">
        <v>62</v>
      </c>
      <c r="J40" s="128" t="s">
        <v>63</v>
      </c>
      <c r="K40" s="128" t="s">
        <v>64</v>
      </c>
      <c r="L40" s="128" t="s">
        <v>61</v>
      </c>
      <c r="M40" s="128" t="s">
        <v>61</v>
      </c>
      <c r="N40" s="128" t="s">
        <v>61</v>
      </c>
      <c r="O40" s="128" t="s">
        <v>61</v>
      </c>
      <c r="P40" s="128" t="s">
        <v>61</v>
      </c>
      <c r="Q40" s="128" t="s">
        <v>61</v>
      </c>
      <c r="R40" s="128" t="s">
        <v>61</v>
      </c>
    </row>
    <row r="41" customFormat="false" ht="18" hidden="false" customHeight="true" outlineLevel="0" collapsed="false">
      <c r="A41" s="124" t="n">
        <v>9</v>
      </c>
      <c r="B41" s="127" t="n">
        <f aca="false">B9</f>
        <v>0</v>
      </c>
      <c r="C41" s="127" t="n">
        <f aca="false">C9</f>
        <v>0</v>
      </c>
      <c r="D41" s="127" t="n">
        <f aca="false">D9</f>
        <v>0</v>
      </c>
      <c r="E41" s="127" t="n">
        <f aca="false">E9</f>
        <v>0</v>
      </c>
      <c r="F41" s="127" t="n">
        <f aca="false">F9</f>
        <v>0</v>
      </c>
      <c r="G41" s="127" t="n">
        <f aca="false">G9</f>
        <v>0</v>
      </c>
      <c r="H41" s="127" t="n">
        <f aca="false">H9</f>
        <v>0</v>
      </c>
      <c r="I41" s="127" t="n">
        <f aca="false">I9</f>
        <v>0</v>
      </c>
      <c r="J41" s="127" t="n">
        <f aca="false">J9</f>
        <v>0</v>
      </c>
      <c r="K41" s="127" t="n">
        <f aca="false">K9</f>
        <v>0</v>
      </c>
      <c r="L41" s="127" t="n">
        <f aca="false">L9</f>
        <v>0</v>
      </c>
      <c r="M41" s="127" t="n">
        <f aca="false">M9</f>
        <v>0</v>
      </c>
      <c r="N41" s="127" t="n">
        <f aca="false">N9</f>
        <v>0</v>
      </c>
      <c r="O41" s="127" t="n">
        <f aca="false">O9</f>
        <v>0</v>
      </c>
      <c r="P41" s="127" t="n">
        <f aca="false">P9</f>
        <v>0</v>
      </c>
      <c r="Q41" s="127" t="n">
        <f aca="false">Q9</f>
        <v>0</v>
      </c>
      <c r="R41" s="127" t="n">
        <f aca="false">R9</f>
        <v>0</v>
      </c>
    </row>
    <row r="42" customFormat="false" ht="72" hidden="false" customHeight="true" outlineLevel="0" collapsed="false">
      <c r="A42" s="124" t="n">
        <v>10</v>
      </c>
      <c r="B42" s="127" t="n">
        <f aca="false">B10</f>
        <v>0</v>
      </c>
      <c r="C42" s="127" t="n">
        <f aca="false">C10</f>
        <v>0</v>
      </c>
      <c r="D42" s="127" t="str">
        <f aca="false">D10</f>
        <v>Required</v>
      </c>
      <c r="E42" s="127" t="n">
        <f aca="false">E10</f>
        <v>0</v>
      </c>
      <c r="F42" s="127" t="n">
        <f aca="false">F10</f>
        <v>0</v>
      </c>
      <c r="G42" s="127" t="n">
        <f aca="false">G10</f>
        <v>0</v>
      </c>
      <c r="H42" s="127" t="str">
        <f aca="false">H10</f>
        <v>Outputs to enter into Coinbase, Advanced Trading, Limit Sale, Post Only</v>
      </c>
      <c r="I42" s="127" t="n">
        <f aca="false">I10</f>
        <v>0</v>
      </c>
      <c r="J42" s="127" t="str">
        <f aca="false">J10</f>
        <v>Calculations</v>
      </c>
      <c r="K42" s="127" t="n">
        <f aca="false">K10</f>
        <v>0</v>
      </c>
      <c r="L42" s="127" t="str">
        <f aca="false">L10</f>
        <v>Calculations, continued</v>
      </c>
      <c r="M42" s="127" t="n">
        <f aca="false">M10</f>
        <v>0</v>
      </c>
      <c r="N42" s="127" t="n">
        <f aca="false">N10</f>
        <v>0</v>
      </c>
      <c r="O42" s="127" t="n">
        <f aca="false">O10</f>
        <v>0</v>
      </c>
      <c r="P42" s="127" t="n">
        <f aca="false">P10</f>
        <v>0</v>
      </c>
      <c r="Q42" s="127" t="n">
        <f aca="false">Q10</f>
        <v>0</v>
      </c>
      <c r="R42" s="127" t="n">
        <f aca="false">R10</f>
        <v>0</v>
      </c>
    </row>
    <row r="43" customFormat="false" ht="36" hidden="false" customHeight="true" outlineLevel="0" collapsed="false">
      <c r="A43" s="124" t="n">
        <v>11</v>
      </c>
      <c r="B43" s="127" t="str">
        <f aca="false">B11</f>
        <v>Target type and value</v>
      </c>
      <c r="C43" s="127" t="str">
        <f aca="false">C11</f>
        <v>Actual transaction date mm/dd/yyyy</v>
      </c>
      <c r="D43" s="127" t="str">
        <f aca="false">D11</f>
        <v>Fee rate</v>
      </c>
      <c r="E43" s="127" t="str">
        <f aca="false">E11</f>
        <v>Basis of coins on hand $</v>
      </c>
      <c r="F43" s="127" t="str">
        <f aca="false">F11</f>
        <v>Coins on hand</v>
      </c>
      <c r="G43" s="127" t="str">
        <f aca="false">G11</f>
        <v>% of coins to sell</v>
      </c>
      <c r="H43" s="127" t="str">
        <f aca="false">H11</f>
        <v>Coins to sell</v>
      </c>
      <c r="I43" s="127" t="str">
        <f aca="false">I11</f>
        <v>Selling price per full coin $</v>
      </c>
      <c r="J43" s="127" t="str">
        <f aca="false">J11</f>
        <v>Net proceeds $ to bank or reinvest</v>
      </c>
      <c r="K43" s="127" t="str">
        <f aca="false">K11</f>
        <v>Net profit (loss) $</v>
      </c>
      <c r="L43" s="127" t="str">
        <f aca="false">L11</f>
        <v>Gross proceeds $</v>
      </c>
      <c r="M43" s="127" t="str">
        <f aca="false">M11</f>
        <v>Variable selling fee $</v>
      </c>
      <c r="N43" s="127" t="str">
        <f aca="false">N11</f>
        <v>Net proceeds % [ratio to this sell's basis]</v>
      </c>
      <c r="O43" s="127" t="str">
        <f aca="false">O11</f>
        <v>Net profit (loss) % [ratio to this sell's basis]</v>
      </c>
      <c r="P43" s="127" t="str">
        <f aca="false">P11</f>
        <v>Gain (loss) $ [excludes selling fees]</v>
      </c>
      <c r="Q43" s="127" t="str">
        <f aca="false">Q11</f>
        <v>Basis after sale $</v>
      </c>
      <c r="R43" s="127" t="str">
        <f aca="false">R11</f>
        <v>Coins after sale</v>
      </c>
    </row>
    <row r="44" customFormat="false" ht="18" hidden="false" customHeight="true" outlineLevel="0" collapsed="false">
      <c r="A44" s="124" t="n">
        <v>12</v>
      </c>
      <c r="B44" s="127" t="n">
        <f aca="false">B12</f>
        <v>0</v>
      </c>
      <c r="C44" s="127" t="n">
        <f aca="false">C12</f>
        <v>0</v>
      </c>
      <c r="D44" s="127" t="n">
        <f aca="false">D12</f>
        <v>0</v>
      </c>
      <c r="E44" s="127" t="n">
        <f aca="false">E12</f>
        <v>0</v>
      </c>
      <c r="F44" s="127" t="n">
        <f aca="false">F12</f>
        <v>0</v>
      </c>
      <c r="G44" s="127" t="n">
        <f aca="false">G12</f>
        <v>0</v>
      </c>
      <c r="H44" s="127" t="n">
        <f aca="false">H12</f>
        <v>0</v>
      </c>
      <c r="I44" s="127" t="n">
        <f aca="false">I12</f>
        <v>0</v>
      </c>
      <c r="J44" s="127" t="n">
        <f aca="false">J12</f>
        <v>0</v>
      </c>
      <c r="K44" s="127" t="n">
        <f aca="false">K12</f>
        <v>0</v>
      </c>
      <c r="L44" s="127" t="n">
        <f aca="false">L12</f>
        <v>0</v>
      </c>
      <c r="M44" s="127" t="n">
        <f aca="false">M12</f>
        <v>0</v>
      </c>
      <c r="N44" s="127" t="n">
        <f aca="false">N12</f>
        <v>0</v>
      </c>
      <c r="O44" s="127" t="n">
        <f aca="false">O12</f>
        <v>0</v>
      </c>
      <c r="P44" s="127" t="n">
        <f aca="false">P12</f>
        <v>0</v>
      </c>
      <c r="Q44" s="127" t="n">
        <f aca="false">Q12</f>
        <v>0</v>
      </c>
      <c r="R44" s="127" t="n">
        <f aca="false">R12</f>
        <v>0</v>
      </c>
    </row>
    <row r="45" customFormat="false" ht="18" hidden="false" customHeight="true" outlineLevel="0" collapsed="false">
      <c r="A45" s="124" t="n">
        <v>13</v>
      </c>
      <c r="B45" s="127" t="str">
        <f aca="false">B13</f>
        <v>1. Selling price $ target</v>
      </c>
      <c r="C45" s="127" t="n">
        <f aca="false">C13</f>
        <v>0</v>
      </c>
      <c r="D45" s="127" t="n">
        <f aca="false">D13</f>
        <v>0</v>
      </c>
      <c r="E45" s="127" t="n">
        <f aca="false">E13</f>
        <v>0</v>
      </c>
      <c r="F45" s="127" t="n">
        <f aca="false">F13</f>
        <v>0</v>
      </c>
      <c r="G45" s="127" t="n">
        <f aca="false">G13</f>
        <v>0</v>
      </c>
      <c r="H45" s="127" t="n">
        <f aca="false">H13</f>
        <v>0</v>
      </c>
      <c r="I45" s="127" t="n">
        <f aca="false">I13</f>
        <v>0</v>
      </c>
      <c r="J45" s="127" t="n">
        <f aca="false">J13</f>
        <v>0</v>
      </c>
      <c r="K45" s="127" t="n">
        <f aca="false">K13</f>
        <v>0</v>
      </c>
      <c r="L45" s="127" t="n">
        <f aca="false">L13</f>
        <v>0</v>
      </c>
      <c r="M45" s="127" t="n">
        <f aca="false">M13</f>
        <v>0</v>
      </c>
      <c r="N45" s="127" t="n">
        <f aca="false">N13</f>
        <v>0</v>
      </c>
      <c r="O45" s="127" t="n">
        <f aca="false">O13</f>
        <v>0</v>
      </c>
      <c r="P45" s="127" t="n">
        <f aca="false">P13</f>
        <v>0</v>
      </c>
      <c r="Q45" s="127" t="n">
        <f aca="false">Q13</f>
        <v>0</v>
      </c>
      <c r="R45" s="127" t="n">
        <f aca="false">R13</f>
        <v>0</v>
      </c>
    </row>
    <row r="46" customFormat="false" ht="36" hidden="false" customHeight="true" outlineLevel="0" collapsed="false">
      <c r="A46" s="124" t="n">
        <v>14</v>
      </c>
      <c r="B46" s="128" t="s">
        <v>61</v>
      </c>
      <c r="C46" s="128" t="s">
        <v>61</v>
      </c>
      <c r="D46" s="128" t="s">
        <v>61</v>
      </c>
      <c r="E46" s="128" t="s">
        <v>61</v>
      </c>
      <c r="F46" s="128" t="s">
        <v>61</v>
      </c>
      <c r="G46" s="128" t="s">
        <v>61</v>
      </c>
      <c r="H46" s="128" t="s">
        <v>61</v>
      </c>
      <c r="I46" s="128" t="s">
        <v>61</v>
      </c>
      <c r="J46" s="128" t="s">
        <v>61</v>
      </c>
      <c r="K46" s="128" t="s">
        <v>61</v>
      </c>
      <c r="L46" s="128" t="s">
        <v>61</v>
      </c>
      <c r="M46" s="128" t="s">
        <v>61</v>
      </c>
      <c r="N46" s="128" t="s">
        <v>61</v>
      </c>
      <c r="O46" s="128" t="s">
        <v>61</v>
      </c>
      <c r="P46" s="128" t="s">
        <v>61</v>
      </c>
      <c r="Q46" s="128" t="s">
        <v>61</v>
      </c>
      <c r="R46" s="128" t="s">
        <v>61</v>
      </c>
    </row>
    <row r="47" customFormat="false" ht="36" hidden="false" customHeight="true" outlineLevel="0" collapsed="false">
      <c r="A47" s="124" t="n">
        <v>15</v>
      </c>
      <c r="B47" s="127" t="n">
        <f aca="false">B15</f>
        <v>0</v>
      </c>
      <c r="C47" s="127" t="n">
        <f aca="false">C15</f>
        <v>0</v>
      </c>
      <c r="D47" s="127" t="n">
        <f aca="false">D15</f>
        <v>0</v>
      </c>
      <c r="E47" s="127" t="n">
        <f aca="false">E15</f>
        <v>0</v>
      </c>
      <c r="F47" s="127" t="n">
        <f aca="false">F15</f>
        <v>0</v>
      </c>
      <c r="G47" s="127" t="n">
        <f aca="false">G15</f>
        <v>0</v>
      </c>
      <c r="H47" s="127" t="n">
        <f aca="false">H15</f>
        <v>0</v>
      </c>
      <c r="I47" s="127" t="n">
        <f aca="false">I15</f>
        <v>0</v>
      </c>
      <c r="J47" s="127" t="n">
        <f aca="false">J15</f>
        <v>0</v>
      </c>
      <c r="K47" s="127" t="n">
        <f aca="false">K15</f>
        <v>0</v>
      </c>
      <c r="L47" s="127" t="n">
        <f aca="false">L15</f>
        <v>0</v>
      </c>
      <c r="M47" s="127" t="n">
        <f aca="false">M15</f>
        <v>0</v>
      </c>
      <c r="N47" s="127" t="n">
        <f aca="false">N15</f>
        <v>0</v>
      </c>
      <c r="O47" s="127" t="n">
        <f aca="false">O15</f>
        <v>0</v>
      </c>
      <c r="P47" s="127" t="n">
        <f aca="false">P15</f>
        <v>0</v>
      </c>
      <c r="Q47" s="127" t="n">
        <f aca="false">Q15</f>
        <v>0</v>
      </c>
      <c r="R47" s="127" t="n">
        <f aca="false">R15</f>
        <v>0</v>
      </c>
    </row>
    <row r="48" customFormat="false" ht="18" hidden="false" customHeight="true" outlineLevel="0" collapsed="false">
      <c r="A48" s="124" t="n">
        <v>16</v>
      </c>
      <c r="B48" s="127" t="n">
        <f aca="false">B16</f>
        <v>0</v>
      </c>
      <c r="C48" s="127" t="n">
        <f aca="false">C16</f>
        <v>0</v>
      </c>
      <c r="D48" s="127" t="n">
        <f aca="false">D16</f>
        <v>0</v>
      </c>
      <c r="E48" s="127" t="n">
        <f aca="false">E16</f>
        <v>0</v>
      </c>
      <c r="F48" s="127" t="n">
        <f aca="false">F16</f>
        <v>0</v>
      </c>
      <c r="G48" s="127" t="n">
        <f aca="false">G16</f>
        <v>0</v>
      </c>
      <c r="H48" s="127" t="n">
        <f aca="false">H16</f>
        <v>0</v>
      </c>
      <c r="I48" s="127" t="n">
        <f aca="false">I16</f>
        <v>0</v>
      </c>
      <c r="J48" s="127" t="n">
        <f aca="false">J16</f>
        <v>0</v>
      </c>
      <c r="K48" s="127" t="n">
        <f aca="false">K16</f>
        <v>0</v>
      </c>
      <c r="L48" s="127" t="n">
        <f aca="false">L16</f>
        <v>0</v>
      </c>
      <c r="M48" s="127" t="n">
        <f aca="false">M16</f>
        <v>0</v>
      </c>
      <c r="N48" s="127" t="n">
        <f aca="false">N16</f>
        <v>0</v>
      </c>
      <c r="O48" s="127" t="n">
        <f aca="false">O16</f>
        <v>0</v>
      </c>
      <c r="P48" s="127" t="n">
        <f aca="false">P16</f>
        <v>0</v>
      </c>
      <c r="Q48" s="127" t="n">
        <f aca="false">Q16</f>
        <v>0</v>
      </c>
      <c r="R48" s="127" t="n">
        <f aca="false">R16</f>
        <v>0</v>
      </c>
    </row>
    <row r="49" customFormat="false" ht="36" hidden="false" customHeight="true" outlineLevel="0" collapsed="false">
      <c r="A49" s="124" t="n">
        <v>17</v>
      </c>
      <c r="B49" s="127" t="str">
        <f aca="false">B17</f>
        <v>2. Net proceeds $ target to bank or re-invest</v>
      </c>
      <c r="C49" s="127" t="n">
        <f aca="false">C17</f>
        <v>0</v>
      </c>
      <c r="D49" s="127" t="n">
        <f aca="false">D17</f>
        <v>0</v>
      </c>
      <c r="E49" s="127" t="n">
        <f aca="false">E17</f>
        <v>0</v>
      </c>
      <c r="F49" s="127" t="n">
        <f aca="false">F17</f>
        <v>0</v>
      </c>
      <c r="G49" s="127" t="n">
        <f aca="false">G17</f>
        <v>0</v>
      </c>
      <c r="H49" s="127" t="n">
        <f aca="false">H17</f>
        <v>0</v>
      </c>
      <c r="I49" s="127" t="n">
        <f aca="false">I17</f>
        <v>0</v>
      </c>
      <c r="J49" s="127" t="n">
        <f aca="false">J17</f>
        <v>0</v>
      </c>
      <c r="K49" s="127" t="n">
        <f aca="false">K17</f>
        <v>0</v>
      </c>
      <c r="L49" s="127" t="n">
        <f aca="false">L17</f>
        <v>0</v>
      </c>
      <c r="M49" s="127" t="n">
        <f aca="false">M17</f>
        <v>0</v>
      </c>
      <c r="N49" s="127" t="n">
        <f aca="false">N17</f>
        <v>0</v>
      </c>
      <c r="O49" s="127" t="n">
        <f aca="false">O17</f>
        <v>0</v>
      </c>
      <c r="P49" s="127" t="n">
        <f aca="false">P17</f>
        <v>0</v>
      </c>
      <c r="Q49" s="127" t="n">
        <f aca="false">Q17</f>
        <v>0</v>
      </c>
      <c r="R49" s="127" t="n">
        <f aca="false">R17</f>
        <v>0</v>
      </c>
    </row>
    <row r="50" customFormat="false" ht="54" hidden="false" customHeight="true" outlineLevel="0" collapsed="false">
      <c r="A50" s="124" t="n">
        <v>18</v>
      </c>
      <c r="B50" s="128" t="s">
        <v>61</v>
      </c>
      <c r="C50" s="128" t="s">
        <v>65</v>
      </c>
      <c r="D50" s="128" t="s">
        <v>66</v>
      </c>
      <c r="E50" s="128" t="s">
        <v>67</v>
      </c>
      <c r="F50" s="128" t="s">
        <v>68</v>
      </c>
      <c r="G50" s="128" t="s">
        <v>69</v>
      </c>
      <c r="H50" s="128" t="s">
        <v>70</v>
      </c>
      <c r="I50" s="128" t="s">
        <v>71</v>
      </c>
      <c r="J50" s="128" t="s">
        <v>72</v>
      </c>
      <c r="K50" s="128" t="s">
        <v>73</v>
      </c>
      <c r="L50" s="128" t="s">
        <v>74</v>
      </c>
      <c r="M50" s="128" t="s">
        <v>75</v>
      </c>
      <c r="N50" s="128" t="s">
        <v>76</v>
      </c>
      <c r="O50" s="128" t="s">
        <v>77</v>
      </c>
      <c r="P50" s="128" t="s">
        <v>78</v>
      </c>
      <c r="Q50" s="128" t="s">
        <v>79</v>
      </c>
      <c r="R50" s="128" t="s">
        <v>80</v>
      </c>
    </row>
    <row r="51" customFormat="false" ht="36" hidden="false" customHeight="true" outlineLevel="0" collapsed="false">
      <c r="A51" s="124" t="n">
        <v>19</v>
      </c>
      <c r="B51" s="127" t="str">
        <f aca="false">B19</f>
        <v>Available to make &gt;0</v>
      </c>
      <c r="C51" s="127" t="n">
        <f aca="false">C19</f>
        <v>0</v>
      </c>
      <c r="D51" s="127" t="n">
        <f aca="false">D19</f>
        <v>0</v>
      </c>
      <c r="E51" s="127" t="n">
        <f aca="false">E19</f>
        <v>0</v>
      </c>
      <c r="F51" s="127" t="n">
        <f aca="false">F19</f>
        <v>0</v>
      </c>
      <c r="G51" s="127" t="n">
        <f aca="false">G19</f>
        <v>0</v>
      </c>
      <c r="H51" s="127" t="n">
        <f aca="false">H19</f>
        <v>0</v>
      </c>
      <c r="I51" s="127" t="n">
        <f aca="false">I19</f>
        <v>0</v>
      </c>
      <c r="J51" s="127" t="n">
        <f aca="false">J19</f>
        <v>0</v>
      </c>
      <c r="K51" s="127" t="n">
        <f aca="false">K19</f>
        <v>0</v>
      </c>
      <c r="L51" s="127" t="n">
        <f aca="false">L19</f>
        <v>0</v>
      </c>
      <c r="M51" s="127" t="n">
        <f aca="false">M19</f>
        <v>0</v>
      </c>
      <c r="N51" s="127" t="n">
        <f aca="false">N19</f>
        <v>0</v>
      </c>
      <c r="O51" s="127" t="n">
        <f aca="false">O19</f>
        <v>0</v>
      </c>
      <c r="P51" s="127" t="n">
        <f aca="false">P19</f>
        <v>0</v>
      </c>
      <c r="Q51" s="127" t="n">
        <f aca="false">Q19</f>
        <v>0</v>
      </c>
      <c r="R51" s="127" t="n">
        <f aca="false">R19</f>
        <v>0</v>
      </c>
    </row>
    <row r="52" customFormat="false" ht="18" hidden="false" customHeight="true" outlineLevel="0" collapsed="false">
      <c r="A52" s="124" t="n">
        <v>20</v>
      </c>
      <c r="B52" s="127" t="n">
        <f aca="false">B20</f>
        <v>0</v>
      </c>
      <c r="C52" s="127" t="n">
        <f aca="false">C20</f>
        <v>0</v>
      </c>
      <c r="D52" s="127" t="n">
        <f aca="false">D20</f>
        <v>0</v>
      </c>
      <c r="E52" s="127" t="n">
        <f aca="false">E20</f>
        <v>0</v>
      </c>
      <c r="F52" s="127" t="n">
        <f aca="false">F20</f>
        <v>0</v>
      </c>
      <c r="G52" s="127" t="n">
        <f aca="false">G20</f>
        <v>0</v>
      </c>
      <c r="H52" s="127" t="n">
        <f aca="false">H20</f>
        <v>0</v>
      </c>
      <c r="I52" s="127" t="n">
        <f aca="false">I20</f>
        <v>0</v>
      </c>
      <c r="J52" s="127" t="n">
        <f aca="false">J20</f>
        <v>0</v>
      </c>
      <c r="K52" s="127" t="n">
        <f aca="false">K20</f>
        <v>0</v>
      </c>
      <c r="L52" s="127" t="n">
        <f aca="false">L20</f>
        <v>0</v>
      </c>
      <c r="M52" s="127" t="n">
        <f aca="false">M20</f>
        <v>0</v>
      </c>
      <c r="N52" s="127" t="n">
        <f aca="false">N20</f>
        <v>0</v>
      </c>
      <c r="O52" s="127" t="n">
        <f aca="false">O20</f>
        <v>0</v>
      </c>
      <c r="P52" s="127" t="n">
        <f aca="false">P20</f>
        <v>0</v>
      </c>
      <c r="Q52" s="127" t="n">
        <f aca="false">Q20</f>
        <v>0</v>
      </c>
      <c r="R52" s="127" t="n">
        <f aca="false">R20</f>
        <v>0</v>
      </c>
    </row>
    <row r="53" customFormat="false" ht="36" hidden="false" customHeight="true" outlineLevel="0" collapsed="false">
      <c r="A53" s="124" t="n">
        <v>21</v>
      </c>
      <c r="B53" s="127" t="str">
        <f aca="false">B21</f>
        <v>3. Net proceeds % target [ratio to this sell's basis]</v>
      </c>
      <c r="C53" s="127" t="n">
        <f aca="false">C21</f>
        <v>0</v>
      </c>
      <c r="D53" s="127" t="n">
        <f aca="false">D21</f>
        <v>0</v>
      </c>
      <c r="E53" s="127" t="n">
        <f aca="false">E21</f>
        <v>0</v>
      </c>
      <c r="F53" s="127" t="n">
        <f aca="false">F21</f>
        <v>0</v>
      </c>
      <c r="G53" s="127" t="n">
        <f aca="false">G21</f>
        <v>0</v>
      </c>
      <c r="H53" s="127" t="n">
        <f aca="false">H21</f>
        <v>0</v>
      </c>
      <c r="I53" s="127" t="n">
        <f aca="false">I21</f>
        <v>0</v>
      </c>
      <c r="J53" s="127" t="n">
        <f aca="false">J21</f>
        <v>0</v>
      </c>
      <c r="K53" s="127" t="n">
        <f aca="false">K21</f>
        <v>0</v>
      </c>
      <c r="L53" s="127" t="n">
        <f aca="false">L21</f>
        <v>0</v>
      </c>
      <c r="M53" s="127" t="n">
        <f aca="false">M21</f>
        <v>0</v>
      </c>
      <c r="N53" s="127" t="n">
        <f aca="false">N21</f>
        <v>0</v>
      </c>
      <c r="O53" s="127" t="n">
        <f aca="false">O21</f>
        <v>0</v>
      </c>
      <c r="P53" s="127" t="n">
        <f aca="false">P21</f>
        <v>0</v>
      </c>
      <c r="Q53" s="127" t="n">
        <f aca="false">Q21</f>
        <v>0</v>
      </c>
      <c r="R53" s="127" t="n">
        <f aca="false">R21</f>
        <v>0</v>
      </c>
    </row>
    <row r="54" customFormat="false" ht="54" hidden="false" customHeight="true" outlineLevel="0" collapsed="false">
      <c r="A54" s="124" t="n">
        <v>22</v>
      </c>
      <c r="B54" s="128" t="s">
        <v>61</v>
      </c>
      <c r="C54" s="128" t="s">
        <v>65</v>
      </c>
      <c r="D54" s="128" t="s">
        <v>66</v>
      </c>
      <c r="E54" s="128" t="s">
        <v>67</v>
      </c>
      <c r="F54" s="128" t="s">
        <v>68</v>
      </c>
      <c r="G54" s="128" t="s">
        <v>81</v>
      </c>
      <c r="H54" s="128" t="s">
        <v>82</v>
      </c>
      <c r="I54" s="128" t="s">
        <v>83</v>
      </c>
      <c r="J54" s="128" t="s">
        <v>84</v>
      </c>
      <c r="K54" s="128" t="s">
        <v>85</v>
      </c>
      <c r="L54" s="128" t="s">
        <v>86</v>
      </c>
      <c r="M54" s="128" t="s">
        <v>87</v>
      </c>
      <c r="N54" s="128" t="s">
        <v>88</v>
      </c>
      <c r="O54" s="128" t="s">
        <v>89</v>
      </c>
      <c r="P54" s="128" t="s">
        <v>90</v>
      </c>
      <c r="Q54" s="128" t="s">
        <v>91</v>
      </c>
      <c r="R54" s="128" t="s">
        <v>92</v>
      </c>
    </row>
    <row r="55" customFormat="false" ht="36" hidden="false" customHeight="true" outlineLevel="0" collapsed="false">
      <c r="A55" s="124" t="n">
        <v>23</v>
      </c>
      <c r="B55" s="127" t="str">
        <f aca="false">B23</f>
        <v>Available to make &gt;0</v>
      </c>
      <c r="C55" s="127" t="n">
        <f aca="false">C23</f>
        <v>0</v>
      </c>
      <c r="D55" s="127" t="n">
        <f aca="false">D23</f>
        <v>0</v>
      </c>
      <c r="E55" s="127" t="n">
        <f aca="false">E23</f>
        <v>0</v>
      </c>
      <c r="F55" s="127" t="n">
        <f aca="false">F23</f>
        <v>0</v>
      </c>
      <c r="G55" s="127" t="n">
        <f aca="false">G23</f>
        <v>0</v>
      </c>
      <c r="H55" s="127" t="n">
        <f aca="false">H23</f>
        <v>0</v>
      </c>
      <c r="I55" s="127" t="n">
        <f aca="false">I23</f>
        <v>0</v>
      </c>
      <c r="J55" s="127" t="n">
        <f aca="false">J23</f>
        <v>0</v>
      </c>
      <c r="K55" s="127" t="n">
        <f aca="false">K23</f>
        <v>0</v>
      </c>
      <c r="L55" s="127" t="n">
        <f aca="false">L23</f>
        <v>0</v>
      </c>
      <c r="M55" s="127" t="n">
        <f aca="false">M23</f>
        <v>0</v>
      </c>
      <c r="N55" s="127" t="n">
        <f aca="false">N23</f>
        <v>0</v>
      </c>
      <c r="O55" s="127" t="n">
        <f aca="false">O23</f>
        <v>0</v>
      </c>
      <c r="P55" s="127" t="n">
        <f aca="false">P23</f>
        <v>0</v>
      </c>
      <c r="Q55" s="127" t="n">
        <f aca="false">Q23</f>
        <v>0</v>
      </c>
      <c r="R55" s="127" t="n">
        <f aca="false">R23</f>
        <v>0</v>
      </c>
    </row>
    <row r="56" customFormat="false" ht="18" hidden="false" customHeight="true" outlineLevel="0" collapsed="false">
      <c r="A56" s="124" t="n">
        <v>24</v>
      </c>
      <c r="B56" s="127" t="n">
        <f aca="false">B24</f>
        <v>0</v>
      </c>
      <c r="C56" s="127" t="n">
        <f aca="false">C24</f>
        <v>0</v>
      </c>
      <c r="D56" s="127" t="n">
        <f aca="false">D24</f>
        <v>0</v>
      </c>
      <c r="E56" s="127" t="n">
        <f aca="false">E24</f>
        <v>0</v>
      </c>
      <c r="F56" s="127" t="n">
        <f aca="false">F24</f>
        <v>0</v>
      </c>
      <c r="G56" s="127" t="n">
        <f aca="false">G24</f>
        <v>0</v>
      </c>
      <c r="H56" s="127" t="n">
        <f aca="false">H24</f>
        <v>0</v>
      </c>
      <c r="I56" s="127" t="n">
        <f aca="false">I24</f>
        <v>0</v>
      </c>
      <c r="J56" s="127" t="n">
        <f aca="false">J24</f>
        <v>0</v>
      </c>
      <c r="K56" s="127" t="n">
        <f aca="false">K24</f>
        <v>0</v>
      </c>
      <c r="L56" s="127" t="n">
        <f aca="false">L24</f>
        <v>0</v>
      </c>
      <c r="M56" s="127" t="n">
        <f aca="false">M24</f>
        <v>0</v>
      </c>
      <c r="N56" s="127" t="n">
        <f aca="false">N24</f>
        <v>0</v>
      </c>
      <c r="O56" s="127" t="n">
        <f aca="false">O24</f>
        <v>0</v>
      </c>
      <c r="P56" s="127" t="n">
        <f aca="false">P24</f>
        <v>0</v>
      </c>
      <c r="Q56" s="127" t="n">
        <f aca="false">Q24</f>
        <v>0</v>
      </c>
      <c r="R56" s="127" t="n">
        <f aca="false">R24</f>
        <v>0</v>
      </c>
    </row>
    <row r="57" customFormat="false" ht="18" hidden="false" customHeight="true" outlineLevel="0" collapsed="false">
      <c r="A57" s="124" t="n">
        <v>25</v>
      </c>
      <c r="B57" s="127" t="str">
        <f aca="false">B25</f>
        <v>4. Net profit (loss) $ target</v>
      </c>
      <c r="C57" s="127" t="n">
        <f aca="false">C25</f>
        <v>0</v>
      </c>
      <c r="D57" s="127" t="n">
        <f aca="false">D25</f>
        <v>0</v>
      </c>
      <c r="E57" s="127" t="n">
        <f aca="false">E25</f>
        <v>0</v>
      </c>
      <c r="F57" s="127" t="n">
        <f aca="false">F25</f>
        <v>0</v>
      </c>
      <c r="G57" s="127" t="n">
        <f aca="false">G25</f>
        <v>0</v>
      </c>
      <c r="H57" s="127" t="n">
        <f aca="false">H25</f>
        <v>0</v>
      </c>
      <c r="I57" s="127" t="n">
        <f aca="false">I25</f>
        <v>0</v>
      </c>
      <c r="J57" s="127" t="n">
        <f aca="false">J25</f>
        <v>0</v>
      </c>
      <c r="K57" s="127" t="n">
        <f aca="false">K25</f>
        <v>0</v>
      </c>
      <c r="L57" s="127" t="n">
        <f aca="false">L25</f>
        <v>0</v>
      </c>
      <c r="M57" s="127" t="n">
        <f aca="false">M25</f>
        <v>0</v>
      </c>
      <c r="N57" s="127" t="n">
        <f aca="false">N25</f>
        <v>0</v>
      </c>
      <c r="O57" s="127" t="n">
        <f aca="false">O25</f>
        <v>0</v>
      </c>
      <c r="P57" s="127" t="n">
        <f aca="false">P25</f>
        <v>0</v>
      </c>
      <c r="Q57" s="127" t="n">
        <f aca="false">Q25</f>
        <v>0</v>
      </c>
      <c r="R57" s="127" t="n">
        <f aca="false">R25</f>
        <v>0</v>
      </c>
    </row>
    <row r="58" customFormat="false" ht="54" hidden="false" customHeight="true" outlineLevel="0" collapsed="false">
      <c r="A58" s="124" t="n">
        <v>26</v>
      </c>
      <c r="B58" s="128" t="s">
        <v>61</v>
      </c>
      <c r="C58" s="128" t="s">
        <v>65</v>
      </c>
      <c r="D58" s="128" t="s">
        <v>93</v>
      </c>
      <c r="E58" s="128" t="s">
        <v>94</v>
      </c>
      <c r="F58" s="128" t="s">
        <v>95</v>
      </c>
      <c r="G58" s="128" t="s">
        <v>96</v>
      </c>
      <c r="H58" s="128" t="s">
        <v>97</v>
      </c>
      <c r="I58" s="128" t="s">
        <v>98</v>
      </c>
      <c r="J58" s="128" t="s">
        <v>99</v>
      </c>
      <c r="K58" s="128" t="s">
        <v>100</v>
      </c>
      <c r="L58" s="128" t="s">
        <v>101</v>
      </c>
      <c r="M58" s="128" t="s">
        <v>102</v>
      </c>
      <c r="N58" s="128" t="s">
        <v>103</v>
      </c>
      <c r="O58" s="128" t="s">
        <v>104</v>
      </c>
      <c r="P58" s="128" t="s">
        <v>105</v>
      </c>
      <c r="Q58" s="128" t="s">
        <v>106</v>
      </c>
      <c r="R58" s="128" t="s">
        <v>107</v>
      </c>
    </row>
    <row r="59" customFormat="false" ht="36" hidden="false" customHeight="true" outlineLevel="0" collapsed="false">
      <c r="A59" s="124" t="n">
        <v>27</v>
      </c>
      <c r="B59" s="127" t="str">
        <f aca="false">B27</f>
        <v>Available to make &lt;&gt;0</v>
      </c>
      <c r="C59" s="127" t="n">
        <f aca="false">C27</f>
        <v>0</v>
      </c>
      <c r="D59" s="127" t="n">
        <f aca="false">D27</f>
        <v>0</v>
      </c>
      <c r="E59" s="127" t="n">
        <f aca="false">E27</f>
        <v>0</v>
      </c>
      <c r="F59" s="127" t="n">
        <f aca="false">F27</f>
        <v>0</v>
      </c>
      <c r="G59" s="127" t="n">
        <f aca="false">G27</f>
        <v>0</v>
      </c>
      <c r="H59" s="127" t="n">
        <f aca="false">H27</f>
        <v>0</v>
      </c>
      <c r="I59" s="127" t="n">
        <f aca="false">I27</f>
        <v>0</v>
      </c>
      <c r="J59" s="127" t="n">
        <f aca="false">J27</f>
        <v>0</v>
      </c>
      <c r="K59" s="127" t="n">
        <f aca="false">K27</f>
        <v>0</v>
      </c>
      <c r="L59" s="127" t="n">
        <f aca="false">L27</f>
        <v>0</v>
      </c>
      <c r="M59" s="127" t="n">
        <f aca="false">M27</f>
        <v>0</v>
      </c>
      <c r="N59" s="127" t="n">
        <f aca="false">N27</f>
        <v>0</v>
      </c>
      <c r="O59" s="127" t="n">
        <f aca="false">O27</f>
        <v>0</v>
      </c>
      <c r="P59" s="127" t="n">
        <f aca="false">P27</f>
        <v>0</v>
      </c>
      <c r="Q59" s="127" t="n">
        <f aca="false">Q27</f>
        <v>0</v>
      </c>
      <c r="R59" s="127" t="n">
        <f aca="false">R27</f>
        <v>0</v>
      </c>
    </row>
    <row r="60" customFormat="false" ht="18" hidden="false" customHeight="true" outlineLevel="0" collapsed="false">
      <c r="A60" s="124" t="n">
        <v>28</v>
      </c>
      <c r="B60" s="127" t="n">
        <f aca="false">B28</f>
        <v>0</v>
      </c>
      <c r="C60" s="127" t="n">
        <f aca="false">C28</f>
        <v>0</v>
      </c>
      <c r="D60" s="127" t="n">
        <f aca="false">D28</f>
        <v>0</v>
      </c>
      <c r="E60" s="127" t="n">
        <f aca="false">E28</f>
        <v>0</v>
      </c>
      <c r="F60" s="127" t="n">
        <f aca="false">F28</f>
        <v>0</v>
      </c>
      <c r="G60" s="127" t="n">
        <f aca="false">G28</f>
        <v>0</v>
      </c>
      <c r="H60" s="127" t="n">
        <f aca="false">H28</f>
        <v>0</v>
      </c>
      <c r="I60" s="127" t="n">
        <f aca="false">I28</f>
        <v>0</v>
      </c>
      <c r="J60" s="127" t="n">
        <f aca="false">J28</f>
        <v>0</v>
      </c>
      <c r="K60" s="127" t="n">
        <f aca="false">K28</f>
        <v>0</v>
      </c>
      <c r="L60" s="127" t="n">
        <f aca="false">L28</f>
        <v>0</v>
      </c>
      <c r="M60" s="127" t="n">
        <f aca="false">M28</f>
        <v>0</v>
      </c>
      <c r="N60" s="127" t="n">
        <f aca="false">N28</f>
        <v>0</v>
      </c>
      <c r="O60" s="127" t="n">
        <f aca="false">O28</f>
        <v>0</v>
      </c>
      <c r="P60" s="127" t="n">
        <f aca="false">P28</f>
        <v>0</v>
      </c>
      <c r="Q60" s="127" t="n">
        <f aca="false">Q28</f>
        <v>0</v>
      </c>
      <c r="R60" s="127" t="n">
        <f aca="false">R28</f>
        <v>0</v>
      </c>
    </row>
    <row r="61" customFormat="false" ht="36" hidden="false" customHeight="true" outlineLevel="0" collapsed="false">
      <c r="A61" s="124" t="n">
        <v>29</v>
      </c>
      <c r="B61" s="127" t="str">
        <f aca="false">B29</f>
        <v>5. Net profit (loss) % target [ratio to this sell's basis]</v>
      </c>
      <c r="C61" s="127" t="n">
        <f aca="false">C29</f>
        <v>0</v>
      </c>
      <c r="D61" s="127" t="n">
        <f aca="false">D29</f>
        <v>0</v>
      </c>
      <c r="E61" s="127" t="n">
        <f aca="false">E29</f>
        <v>0</v>
      </c>
      <c r="F61" s="127" t="n">
        <f aca="false">F29</f>
        <v>0</v>
      </c>
      <c r="G61" s="127" t="n">
        <f aca="false">G29</f>
        <v>0</v>
      </c>
      <c r="H61" s="127" t="n">
        <f aca="false">H29</f>
        <v>0</v>
      </c>
      <c r="I61" s="127" t="n">
        <f aca="false">I29</f>
        <v>0</v>
      </c>
      <c r="J61" s="127" t="n">
        <f aca="false">J29</f>
        <v>0</v>
      </c>
      <c r="K61" s="127" t="n">
        <f aca="false">K29</f>
        <v>0</v>
      </c>
      <c r="L61" s="127" t="n">
        <f aca="false">L29</f>
        <v>0</v>
      </c>
      <c r="M61" s="127" t="n">
        <f aca="false">M29</f>
        <v>0</v>
      </c>
      <c r="N61" s="127" t="n">
        <f aca="false">N29</f>
        <v>0</v>
      </c>
      <c r="O61" s="127" t="n">
        <f aca="false">O29</f>
        <v>0</v>
      </c>
      <c r="P61" s="127" t="n">
        <f aca="false">P29</f>
        <v>0</v>
      </c>
      <c r="Q61" s="127" t="n">
        <f aca="false">Q29</f>
        <v>0</v>
      </c>
      <c r="R61" s="127" t="n">
        <f aca="false">R29</f>
        <v>0</v>
      </c>
    </row>
    <row r="62" customFormat="false" ht="54" hidden="false" customHeight="true" outlineLevel="0" collapsed="false">
      <c r="A62" s="124" t="n">
        <v>30</v>
      </c>
      <c r="B62" s="128" t="s">
        <v>61</v>
      </c>
      <c r="C62" s="128" t="s">
        <v>65</v>
      </c>
      <c r="D62" s="128" t="s">
        <v>93</v>
      </c>
      <c r="E62" s="128" t="s">
        <v>94</v>
      </c>
      <c r="F62" s="128" t="s">
        <v>95</v>
      </c>
      <c r="G62" s="128" t="s">
        <v>96</v>
      </c>
      <c r="H62" s="128" t="s">
        <v>108</v>
      </c>
      <c r="I62" s="128" t="s">
        <v>109</v>
      </c>
      <c r="J62" s="128" t="s">
        <v>110</v>
      </c>
      <c r="K62" s="128" t="s">
        <v>111</v>
      </c>
      <c r="L62" s="128" t="s">
        <v>112</v>
      </c>
      <c r="M62" s="128" t="s">
        <v>113</v>
      </c>
      <c r="N62" s="128" t="s">
        <v>114</v>
      </c>
      <c r="O62" s="128" t="s">
        <v>115</v>
      </c>
      <c r="P62" s="128" t="s">
        <v>116</v>
      </c>
      <c r="Q62" s="128" t="s">
        <v>117</v>
      </c>
      <c r="R62" s="128" t="s">
        <v>118</v>
      </c>
    </row>
    <row r="63" customFormat="false" ht="36" hidden="false" customHeight="true" outlineLevel="0" collapsed="false">
      <c r="A63" s="124" t="n">
        <v>31</v>
      </c>
      <c r="B63" s="127" t="str">
        <f aca="false">B31</f>
        <v>Available to make &lt;&gt;0</v>
      </c>
      <c r="C63" s="127" t="n">
        <f aca="false">C31</f>
        <v>0</v>
      </c>
      <c r="D63" s="127" t="n">
        <f aca="false">D31</f>
        <v>0</v>
      </c>
      <c r="E63" s="127" t="n">
        <f aca="false">E31</f>
        <v>0</v>
      </c>
      <c r="F63" s="127" t="n">
        <f aca="false">F31</f>
        <v>0</v>
      </c>
      <c r="G63" s="127" t="n">
        <f aca="false">G31</f>
        <v>0</v>
      </c>
      <c r="H63" s="127" t="n">
        <f aca="false">H31</f>
        <v>0</v>
      </c>
      <c r="I63" s="127" t="n">
        <f aca="false">I31</f>
        <v>0</v>
      </c>
      <c r="J63" s="127" t="n">
        <f aca="false">J31</f>
        <v>0</v>
      </c>
      <c r="K63" s="127" t="n">
        <f aca="false">K31</f>
        <v>0</v>
      </c>
      <c r="L63" s="127" t="n">
        <f aca="false">L31</f>
        <v>0</v>
      </c>
      <c r="M63" s="127" t="n">
        <f aca="false">M31</f>
        <v>0</v>
      </c>
      <c r="N63" s="127" t="n">
        <f aca="false">N31</f>
        <v>0</v>
      </c>
      <c r="O63" s="127" t="n">
        <f aca="false">O31</f>
        <v>0</v>
      </c>
      <c r="P63" s="127" t="n">
        <f aca="false">P31</f>
        <v>0</v>
      </c>
      <c r="Q63" s="127" t="n">
        <f aca="false">Q31</f>
        <v>0</v>
      </c>
      <c r="R63" s="127" t="n">
        <f aca="false">R31</f>
        <v>0</v>
      </c>
    </row>
    <row r="454" customFormat="false" ht="12.8" hidden="false" customHeight="true" outlineLevel="0" collapsed="false">
      <c r="A454" s="2"/>
    </row>
    <row r="455" customFormat="false" ht="12.8" hidden="false" customHeight="true" outlineLevel="0" collapsed="false">
      <c r="A455" s="2"/>
    </row>
    <row r="456" customFormat="false" ht="12.8" hidden="false" customHeight="true" outlineLevel="0" collapsed="false">
      <c r="A456" s="2"/>
    </row>
    <row r="457" customFormat="false" ht="12.8" hidden="false" customHeight="true" outlineLevel="0" collapsed="false">
      <c r="A457" s="2"/>
    </row>
    <row r="458" customFormat="false" ht="12.8" hidden="false" customHeight="true" outlineLevel="0" collapsed="false">
      <c r="A458" s="2"/>
    </row>
    <row r="459" customFormat="false" ht="12.8" hidden="false" customHeight="true" outlineLevel="0" collapsed="false">
      <c r="A459" s="2"/>
    </row>
    <row r="460" customFormat="false" ht="12.8" hidden="false" customHeight="true" outlineLevel="0" collapsed="false">
      <c r="A460" s="2"/>
    </row>
    <row r="461" customFormat="false" ht="12.8" hidden="false" customHeight="true" outlineLevel="0" collapsed="false">
      <c r="A461" s="2"/>
    </row>
    <row r="462" customFormat="false" ht="12.8" hidden="false" customHeight="true" outlineLevel="0" collapsed="false">
      <c r="A462" s="2"/>
    </row>
    <row r="463" customFormat="false" ht="12.8" hidden="false" customHeight="true" outlineLevel="0" collapsed="false">
      <c r="A463" s="2"/>
    </row>
    <row r="464" customFormat="false" ht="12.8" hidden="false" customHeight="true" outlineLevel="0" collapsed="false">
      <c r="A464" s="2"/>
    </row>
    <row r="465" customFormat="false" ht="12.8" hidden="false" customHeight="true" outlineLevel="0" collapsed="false">
      <c r="A465" s="2"/>
    </row>
    <row r="466" customFormat="false" ht="12.8" hidden="false" customHeight="true" outlineLevel="0" collapsed="false">
      <c r="A466" s="2"/>
    </row>
    <row r="467" customFormat="false" ht="12.8" hidden="false" customHeight="true" outlineLevel="0" collapsed="false">
      <c r="A467" s="2"/>
    </row>
    <row r="468" customFormat="false" ht="12.8" hidden="false" customHeight="true" outlineLevel="0" collapsed="false">
      <c r="A468" s="2"/>
    </row>
    <row r="469" customFormat="false" ht="12.8" hidden="false" customHeight="true" outlineLevel="0" collapsed="false">
      <c r="A469" s="2"/>
    </row>
    <row r="470" customFormat="false" ht="12.8" hidden="false" customHeight="true" outlineLevel="0" collapsed="false">
      <c r="A470" s="2"/>
    </row>
    <row r="471" customFormat="false" ht="12.8" hidden="false" customHeight="true" outlineLevel="0" collapsed="false">
      <c r="A471" s="2"/>
    </row>
    <row r="472" customFormat="false" ht="12.8" hidden="false" customHeight="true" outlineLevel="0" collapsed="false">
      <c r="A472" s="2"/>
    </row>
    <row r="473" customFormat="false" ht="12.8" hidden="false" customHeight="true" outlineLevel="0" collapsed="false">
      <c r="A473" s="2"/>
    </row>
    <row r="474" customFormat="false" ht="12.8" hidden="false" customHeight="true" outlineLevel="0" collapsed="false">
      <c r="A474" s="2"/>
    </row>
    <row r="475" customFormat="false" ht="12.8" hidden="false" customHeight="true" outlineLevel="0" collapsed="false">
      <c r="A475" s="2"/>
    </row>
    <row r="476" customFormat="false" ht="12.8" hidden="false" customHeight="true" outlineLevel="0" collapsed="false">
      <c r="A476" s="2"/>
    </row>
    <row r="477" customFormat="false" ht="12.8" hidden="false" customHeight="true" outlineLevel="0" collapsed="false">
      <c r="A477" s="2"/>
    </row>
    <row r="478" customFormat="false" ht="12.8" hidden="false" customHeight="true" outlineLevel="0" collapsed="false">
      <c r="A478" s="2"/>
    </row>
    <row r="479" customFormat="false" ht="12.8" hidden="false" customHeight="true" outlineLevel="0" collapsed="false">
      <c r="A479" s="2"/>
    </row>
    <row r="480" customFormat="false" ht="12.8" hidden="false" customHeight="true" outlineLevel="0" collapsed="false">
      <c r="A480" s="2"/>
    </row>
    <row r="481" customFormat="false" ht="12.8" hidden="false" customHeight="true" outlineLevel="0" collapsed="false">
      <c r="A481" s="2"/>
    </row>
    <row r="482" customFormat="false" ht="12.8" hidden="false" customHeight="true" outlineLevel="0" collapsed="false">
      <c r="A482" s="2"/>
    </row>
    <row r="483" customFormat="false" ht="12.8" hidden="false" customHeight="true" outlineLevel="0" collapsed="false">
      <c r="A483" s="2"/>
    </row>
  </sheetData>
  <mergeCells count="15">
    <mergeCell ref="D3:K3"/>
    <mergeCell ref="D5:K5"/>
    <mergeCell ref="L5:R5"/>
    <mergeCell ref="F6:G6"/>
    <mergeCell ref="D7:E8"/>
    <mergeCell ref="H7:H8"/>
    <mergeCell ref="D10:G10"/>
    <mergeCell ref="H10:I10"/>
    <mergeCell ref="J10:K10"/>
    <mergeCell ref="L10:R10"/>
    <mergeCell ref="B13:C13"/>
    <mergeCell ref="B17:C17"/>
    <mergeCell ref="B21:C21"/>
    <mergeCell ref="B25:C25"/>
    <mergeCell ref="B29:C29"/>
  </mergeCells>
  <conditionalFormatting sqref="B15">
    <cfRule type="expression" priority="2" aboveAverage="0" equalAverage="0" bottom="0" percent="0" rank="0" text="" dxfId="0">
      <formula>B14&gt;0</formula>
    </cfRule>
    <cfRule type="expression" priority="3" aboveAverage="0" equalAverage="0" bottom="0" percent="0" rank="0" text="" dxfId="1">
      <formula>B14=0</formula>
    </cfRule>
  </conditionalFormatting>
  <conditionalFormatting sqref="B19">
    <cfRule type="expression" priority="4" aboveAverage="0" equalAverage="0" bottom="0" percent="0" rank="0" text="" dxfId="2">
      <formula>B18&gt;0</formula>
    </cfRule>
    <cfRule type="expression" priority="5" aboveAverage="0" equalAverage="0" bottom="0" percent="0" rank="0" text="" dxfId="3">
      <formula>B18=0</formula>
    </cfRule>
  </conditionalFormatting>
  <conditionalFormatting sqref="B23">
    <cfRule type="expression" priority="6" aboveAverage="0" equalAverage="0" bottom="0" percent="0" rank="0" text="" dxfId="4">
      <formula>B22&gt;0</formula>
    </cfRule>
    <cfRule type="expression" priority="7" aboveAverage="0" equalAverage="0" bottom="0" percent="0" rank="0" text="" dxfId="5">
      <formula>B22=0</formula>
    </cfRule>
  </conditionalFormatting>
  <conditionalFormatting sqref="B27">
    <cfRule type="expression" priority="8" aboveAverage="0" equalAverage="0" bottom="0" percent="0" rank="0" text="" dxfId="6">
      <formula>B26&lt;&gt;0</formula>
    </cfRule>
    <cfRule type="expression" priority="9" aboveAverage="0" equalAverage="0" bottom="0" percent="0" rank="0" text="" dxfId="7">
      <formula>B26=0</formula>
    </cfRule>
  </conditionalFormatting>
  <conditionalFormatting sqref="B31">
    <cfRule type="expression" priority="10" aboveAverage="0" equalAverage="0" bottom="0" percent="0" rank="0" text="" dxfId="8">
      <formula>B30&lt;&gt;0</formula>
    </cfRule>
    <cfRule type="expression" priority="11" aboveAverage="0" equalAverage="0" bottom="0" percent="0" rank="0" text="" dxfId="9">
      <formula>B30=0</formula>
    </cfRule>
  </conditionalFormatting>
  <conditionalFormatting sqref="C18">
    <cfRule type="expression" priority="12" aboveAverage="0" equalAverage="0" bottom="0" percent="0" rank="0" text="" dxfId="10">
      <formula>$B$14&lt;&gt;0</formula>
    </cfRule>
    <cfRule type="expression" priority="13" aboveAverage="0" equalAverage="0" bottom="0" percent="0" rank="0" text="" dxfId="11">
      <formula>0</formula>
    </cfRule>
    <cfRule type="expression" priority="14" aboveAverage="0" equalAverage="0" bottom="0" percent="0" rank="0" text="" dxfId="12">
      <formula>0</formula>
    </cfRule>
  </conditionalFormatting>
  <conditionalFormatting sqref="C22">
    <cfRule type="expression" priority="15" aboveAverage="0" equalAverage="0" bottom="0" percent="0" rank="0" text="" dxfId="13">
      <formula>0</formula>
    </cfRule>
  </conditionalFormatting>
  <conditionalFormatting sqref="C18:G18">
    <cfRule type="expression" priority="16" aboveAverage="0" equalAverage="0" bottom="0" percent="0" rank="0" text="" dxfId="14">
      <formula>0</formula>
    </cfRule>
  </conditionalFormatting>
  <conditionalFormatting sqref="I18:R19">
    <cfRule type="expression" priority="17" aboveAverage="0" equalAverage="0" bottom="0" percent="0" rank="0" text="" dxfId="15">
      <formula>0</formula>
    </cfRule>
  </conditionalFormatting>
  <conditionalFormatting sqref="C30:G30">
    <cfRule type="expression" priority="18" aboveAverage="0" equalAverage="0" bottom="0" percent="0" rank="0" text="" dxfId="16">
      <formula>0</formula>
    </cfRule>
    <cfRule type="expression" priority="19" aboveAverage="0" equalAverage="0" bottom="0" percent="0" rank="0" text="" dxfId="17">
      <formula>0</formula>
    </cfRule>
  </conditionalFormatting>
  <conditionalFormatting sqref="C22:R23">
    <cfRule type="expression" priority="20" aboveAverage="0" equalAverage="0" bottom="0" percent="0" rank="0" text="" dxfId="18">
      <formula>0</formula>
    </cfRule>
    <cfRule type="expression" priority="21" aboveAverage="0" equalAverage="0" bottom="0" percent="0" rank="0" text="" dxfId="19">
      <formula>0</formula>
    </cfRule>
  </conditionalFormatting>
  <conditionalFormatting sqref="C27:G27">
    <cfRule type="expression" priority="22" aboveAverage="0" equalAverage="0" bottom="0" percent="0" rank="0" text="" dxfId="20">
      <formula>0</formula>
    </cfRule>
  </conditionalFormatting>
  <conditionalFormatting sqref="D15">
    <cfRule type="expression" priority="23" aboveAverage="0" equalAverage="0" bottom="0" percent="0" rank="0" text="" dxfId="21">
      <formula>AND($D$14&lt;=0.004,$D$14&gt;=0)</formula>
    </cfRule>
    <cfRule type="expression" priority="24" aboveAverage="0" equalAverage="0" bottom="0" percent="0" rank="0" text="" dxfId="22">
      <formula>OR($D$14&gt;0.004,$D$14&lt;=0)</formula>
    </cfRule>
  </conditionalFormatting>
  <conditionalFormatting sqref="E15">
    <cfRule type="expression" priority="25" aboveAverage="0" equalAverage="0" bottom="0" percent="0" rank="0" text="" dxfId="23">
      <formula>E14&lt;=0</formula>
    </cfRule>
    <cfRule type="expression" priority="26" aboveAverage="0" equalAverage="0" bottom="0" percent="0" rank="0" text="" dxfId="24">
      <formula>0</formula>
    </cfRule>
  </conditionalFormatting>
  <conditionalFormatting sqref="F15">
    <cfRule type="expression" priority="27" aboveAverage="0" equalAverage="0" bottom="0" percent="0" rank="0" text="" dxfId="25">
      <formula>0</formula>
    </cfRule>
    <cfRule type="expression" priority="28" aboveAverage="0" equalAverage="0" bottom="0" percent="0" rank="0" text="" dxfId="26">
      <formula>0</formula>
    </cfRule>
  </conditionalFormatting>
  <conditionalFormatting sqref="G15">
    <cfRule type="expression" priority="29" aboveAverage="0" equalAverage="0" bottom="0" percent="0" rank="0" text="" dxfId="27">
      <formula>AND($G$14&lt;=1,$G$14&gt;0)</formula>
    </cfRule>
    <cfRule type="expression" priority="30" aboveAverage="0" equalAverage="0" bottom="0" percent="0" rank="0" text="" dxfId="28">
      <formula>OR($G$14&gt;1,$G$14&lt;=0)</formula>
    </cfRule>
  </conditionalFormatting>
  <conditionalFormatting sqref="G23">
    <cfRule type="expression" priority="31" aboveAverage="0" equalAverage="0" bottom="0" percent="0" rank="0" text="" dxfId="29">
      <formula>AND($G$22&lt;=1,$G$22&gt;0)</formula>
    </cfRule>
    <cfRule type="expression" priority="32" aboveAverage="0" equalAverage="0" bottom="0" percent="0" rank="0" text="" dxfId="30">
      <formula>OR($G$23&gt;1,$G$23&lt;=0)</formula>
    </cfRule>
  </conditionalFormatting>
  <conditionalFormatting sqref="G27">
    <cfRule type="expression" priority="33" aboveAverage="0" equalAverage="0" bottom="0" percent="0" rank="0" text="" dxfId="31">
      <formula>OR($G$26&lt;=1,$G$26&gt;0)</formula>
    </cfRule>
  </conditionalFormatting>
  <conditionalFormatting sqref="G31">
    <cfRule type="expression" priority="34" aboveAverage="0" equalAverage="0" bottom="0" percent="0" rank="0" text="" dxfId="32">
      <formula>AND($G$30&lt;=1,$G$30&gt;0)</formula>
    </cfRule>
    <cfRule type="expression" priority="35" aboveAverage="0" equalAverage="0" bottom="0" percent="0" rank="0" text="" dxfId="33">
      <formula>OR($G$30&gt;1,$G$30&lt;=0)</formula>
    </cfRule>
  </conditionalFormatting>
  <conditionalFormatting sqref="H15">
    <cfRule type="expression" priority="36" aboveAverage="0" equalAverage="0" bottom="0" percent="0" rank="0" text="" dxfId="34">
      <formula>H14&gt;=0.000016</formula>
    </cfRule>
    <cfRule type="expression" priority="37" aboveAverage="0" equalAverage="0" bottom="0" percent="0" rank="0" text="" dxfId="35">
      <formula>H14&lt;0.000016</formula>
    </cfRule>
  </conditionalFormatting>
  <conditionalFormatting sqref="H19">
    <cfRule type="expression" priority="38" aboveAverage="0" equalAverage="0" bottom="0" percent="0" rank="0" text="" dxfId="36">
      <formula>$H$18=0</formula>
    </cfRule>
    <cfRule type="expression" priority="39" aboveAverage="0" equalAverage="0" bottom="0" percent="0" rank="0" text="" dxfId="37">
      <formula>H18&gt;=0.000016</formula>
    </cfRule>
    <cfRule type="expression" priority="40" aboveAverage="0" equalAverage="0" bottom="0" percent="0" rank="0" text="" dxfId="38">
      <formula>H18&lt;0.000016</formula>
    </cfRule>
  </conditionalFormatting>
  <conditionalFormatting sqref="H23">
    <cfRule type="expression" priority="41" aboveAverage="0" equalAverage="0" bottom="0" percent="0" rank="0" text="" dxfId="39">
      <formula>H22&gt;=0.000016</formula>
    </cfRule>
    <cfRule type="expression" priority="42" aboveAverage="0" equalAverage="0" bottom="0" percent="0" rank="0" text="" dxfId="40">
      <formula>H22&lt;0.000016</formula>
    </cfRule>
  </conditionalFormatting>
  <conditionalFormatting sqref="H26">
    <cfRule type="expression" priority="43" aboveAverage="0" equalAverage="0" bottom="0" percent="0" rank="0" text="" dxfId="41">
      <formula>0</formula>
    </cfRule>
  </conditionalFormatting>
  <conditionalFormatting sqref="H27">
    <cfRule type="expression" priority="44" aboveAverage="0" equalAverage="0" bottom="0" percent="0" rank="0" text="" dxfId="42">
      <formula>0</formula>
    </cfRule>
    <cfRule type="expression" priority="45" aboveAverage="0" equalAverage="0" bottom="0" percent="0" rank="0" text="" dxfId="43">
      <formula>0</formula>
    </cfRule>
    <cfRule type="expression" priority="46" aboveAverage="0" equalAverage="0" bottom="0" percent="0" rank="0" text="" dxfId="44">
      <formula>H26&lt;0.000016</formula>
    </cfRule>
  </conditionalFormatting>
  <conditionalFormatting sqref="H30">
    <cfRule type="expression" priority="47" aboveAverage="0" equalAverage="0" bottom="0" percent="0" rank="0" text="" dxfId="45">
      <formula>0</formula>
    </cfRule>
    <cfRule type="expression" priority="48" aboveAverage="0" equalAverage="0" bottom="0" percent="0" rank="0" text="" dxfId="46">
      <formula>0</formula>
    </cfRule>
  </conditionalFormatting>
  <conditionalFormatting sqref="H31">
    <cfRule type="expression" priority="49" aboveAverage="0" equalAverage="0" bottom="0" percent="0" rank="0" text="" dxfId="47">
      <formula>0</formula>
    </cfRule>
    <cfRule type="expression" priority="50" aboveAverage="0" equalAverage="0" bottom="0" percent="0" rank="0" text="" dxfId="48">
      <formula>0</formula>
    </cfRule>
    <cfRule type="expression" priority="51" aboveAverage="0" equalAverage="0" bottom="0" percent="0" rank="0" text="" dxfId="49">
      <formula>H30&lt;0.000016</formula>
    </cfRule>
  </conditionalFormatting>
  <conditionalFormatting sqref="H14:R15">
    <cfRule type="expression" priority="52" aboveAverage="0" equalAverage="0" bottom="0" percent="0" rank="0" text="" dxfId="50">
      <formula>OR($E$14=0,$F$14=0,$G$14=0)</formula>
    </cfRule>
  </conditionalFormatting>
  <conditionalFormatting sqref="I15">
    <cfRule type="expression" priority="53" aboveAverage="0" equalAverage="0" bottom="0" percent="0" rank="0" text="" dxfId="51">
      <formula>0</formula>
    </cfRule>
  </conditionalFormatting>
  <conditionalFormatting sqref="J15">
    <cfRule type="expression" priority="54" aboveAverage="0" equalAverage="0" bottom="0" percent="0" rank="0" text="" dxfId="52">
      <formula>0</formula>
    </cfRule>
    <cfRule type="expression" priority="55" aboveAverage="0" equalAverage="0" bottom="0" percent="0" rank="0" text="" dxfId="53">
      <formula>0</formula>
    </cfRule>
    <cfRule type="expression" priority="56" aboveAverage="0" equalAverage="0" bottom="0" percent="0" rank="0" text="" dxfId="54">
      <formula>0</formula>
    </cfRule>
  </conditionalFormatting>
  <conditionalFormatting sqref="J19">
    <cfRule type="expression" priority="57" aboveAverage="0" equalAverage="0" bottom="0" percent="0" rank="0" text="" dxfId="55">
      <formula>0</formula>
    </cfRule>
    <cfRule type="expression" priority="58" aboveAverage="0" equalAverage="0" bottom="0" percent="0" rank="0" text="" dxfId="56">
      <formula>0</formula>
    </cfRule>
  </conditionalFormatting>
  <conditionalFormatting sqref="J23">
    <cfRule type="expression" priority="59" aboveAverage="0" equalAverage="0" bottom="0" percent="0" rank="0" text="" dxfId="57">
      <formula>0</formula>
    </cfRule>
    <cfRule type="expression" priority="60" aboveAverage="0" equalAverage="0" bottom="0" percent="0" rank="0" text="" dxfId="58">
      <formula>J22&lt;0.01</formula>
    </cfRule>
    <cfRule type="expression" priority="61" aboveAverage="0" equalAverage="0" bottom="0" percent="0" rank="0" text="" dxfId="59">
      <formula>$J$22&gt;=0</formula>
    </cfRule>
  </conditionalFormatting>
  <conditionalFormatting sqref="J27">
    <cfRule type="expression" priority="62" aboveAverage="0" equalAverage="0" bottom="0" percent="0" rank="0" text="" dxfId="60">
      <formula>0</formula>
    </cfRule>
    <cfRule type="expression" priority="63" aboveAverage="0" equalAverage="0" bottom="0" percent="0" rank="0" text="" dxfId="61">
      <formula>0</formula>
    </cfRule>
    <cfRule type="expression" priority="64" aboveAverage="0" equalAverage="0" bottom="0" percent="0" rank="0" text="" dxfId="62">
      <formula>J26&lt;0.01</formula>
    </cfRule>
  </conditionalFormatting>
  <conditionalFormatting sqref="J31">
    <cfRule type="expression" priority="65" aboveAverage="0" equalAverage="0" bottom="0" percent="0" rank="0" text="" dxfId="63">
      <formula>$J$30&lt;0.01</formula>
    </cfRule>
    <cfRule type="expression" priority="66" aboveAverage="0" equalAverage="0" bottom="0" percent="0" rank="0" text="" dxfId="64">
      <formula>$J$30&gt;=0.01</formula>
    </cfRule>
  </conditionalFormatting>
  <printOptions headings="false" gridLines="false" gridLinesSet="true" horizontalCentered="false" verticalCentered="false"/>
  <pageMargins left="0.25" right="0.25" top="0.25" bottom="0.25" header="0.511811023622047" footer="0.25"/>
  <pageSetup paperSize="1" scale="50" fitToWidth="1" fitToHeight="1" pageOrder="overThenDown" orientation="landscape" blackAndWhite="false" draft="false" cellComments="none" horizontalDpi="300" verticalDpi="300" copies="1"/>
  <headerFooter differentFirst="false" differentOddEven="false">
    <oddHeader/>
    <oddFooter>&amp;LPrinted &amp;D &amp;T
Page &amp;P of &amp;N&amp;C&amp;Z&amp;F</oddFooter>
  </headerFooter>
  <colBreaks count="1" manualBreakCount="1">
    <brk id="11" man="true" max="65535" min="0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LibreOffice/7.4.1.2$Linux_X86_64 LibreOffice_project/3c58a8f3a960df8bc8fd77b461821e42c061c5f0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2023-07-14T23:42:38Z</dcterms:created>
  <dc:creator/>
  <dc:description/>
  <dc:language>en-US</dc:language>
  <cp:lastModifiedBy/>
  <dcterms:modified xsi:type="dcterms:W3CDTF">2023-07-14T23:46:53Z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