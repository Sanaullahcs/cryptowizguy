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20230622update" sheetId="1" state="visible" r:id="rId3"/>
  </sheets>
  <definedNames>
    <definedName function="false" hidden="false" localSheetId="0" name="_xlnm.Print_Area" vbProcedure="false">20230622update!$B$13:$R$31</definedName>
    <definedName function="false" hidden="false" localSheetId="0" name="_xlnm.Print_Titles" vbProcedure="false">20230622update!$B:$C,20230622update!$2:$11</definedName>
    <definedName function="false" hidden="false" localSheetId="0" name="solver_adj" vbProcedure="false">20230622update!$B$18</definedName>
    <definedName function="false" hidden="false" localSheetId="0" name="solver_cvg" vbProcedure="false">0.0001</definedName>
    <definedName function="false" hidden="false" localSheetId="0" name="solver_drv" vbProcedure="false">1</definedName>
    <definedName function="false" hidden="false" localSheetId="0" name="solver_eng" vbProcedure="false">1</definedName>
    <definedName function="false" hidden="false" localSheetId="0" name="solver_est" vbProcedure="false">1</definedName>
    <definedName function="false" hidden="false" localSheetId="0" name="solver_itr" vbProcedure="false">250</definedName>
    <definedName function="false" hidden="false" localSheetId="0" name="solver_lhs1" vbProcedure="false">20230622update!$K$18</definedName>
    <definedName function="false" hidden="false" localSheetId="0" name="solver_lhs2" vbProcedure="false">20230622update!$M$22</definedName>
    <definedName function="false" hidden="false" localSheetId="0" name="solver_lhs3" vbProcedure="false">20230622update!$H$22</definedName>
    <definedName function="false" hidden="false" localSheetId="0" name="solver_lhs4" vbProcedure="false">20230622update!$H$22</definedName>
    <definedName function="false" hidden="false" localSheetId="0" name="solver_lhs5" vbProcedure="false">20230622update!$H$22</definedName>
    <definedName function="false" hidden="false" localSheetId="0" name="solver_mip" vbProcedure="false">1</definedName>
    <definedName function="false" hidden="false" localSheetId="0" name="solver_mni" vbProcedure="false">30</definedName>
    <definedName function="false" hidden="false" localSheetId="0" name="solver_mrt" vbProcedure="false">0.075</definedName>
    <definedName function="false" hidden="false" localSheetId="0" name="solver_msl" vbProcedure="false">2</definedName>
    <definedName function="false" hidden="false" localSheetId="0" name="solver_neg" vbProcedure="false">1</definedName>
    <definedName function="false" hidden="false" localSheetId="0" name="solver_nod" vbProcedure="false">2147483647</definedName>
    <definedName function="false" hidden="false" localSheetId="0" name="solver_num" vbProcedure="false">0</definedName>
    <definedName function="false" hidden="false" localSheetId="0" name="solver_nwt" vbProcedure="false">1</definedName>
    <definedName function="false" hidden="false" localSheetId="0" name="solver_opt" vbProcedure="false">20230622update!$I$18</definedName>
    <definedName function="false" hidden="false" localSheetId="0" name="solver_pre" vbProcedure="false">0.000001</definedName>
    <definedName function="false" hidden="false" localSheetId="0" name="solver_rbv" vbProcedure="false">1</definedName>
    <definedName function="false" hidden="false" localSheetId="0" name="solver_rel1" vbProcedure="false">2</definedName>
    <definedName function="false" hidden="false" localSheetId="0" name="solver_rel2" vbProcedure="false">3</definedName>
    <definedName function="false" hidden="false" localSheetId="0" name="solver_rel3" vbProcedure="false">2</definedName>
    <definedName function="false" hidden="false" localSheetId="0" name="solver_rel4" vbProcedure="false">2</definedName>
    <definedName function="false" hidden="false" localSheetId="0" name="solver_rel5" vbProcedure="false">3</definedName>
    <definedName function="false" hidden="false" localSheetId="0" name="solver_rhs1" vbProcedure="false">12.3161625</definedName>
    <definedName function="false" hidden="false" localSheetId="0" name="solver_rhs2" vbProcedure="false">0.25</definedName>
    <definedName function="false" hidden="false" localSheetId="0" name="solver_rhs3" vbProcedure="false">0.00075999</definedName>
    <definedName function="false" hidden="false" localSheetId="0" name="solver_rhs4" vbProcedure="false">0.00075999</definedName>
    <definedName function="false" hidden="false" localSheetId="0" name="solver_rhs5" vbProcedure="false">0.00055</definedName>
    <definedName function="false" hidden="false" localSheetId="0" name="solver_rlx" vbProcedure="false">2</definedName>
    <definedName function="false" hidden="false" localSheetId="0" name="solver_rsd" vbProcedure="false">0</definedName>
    <definedName function="false" hidden="false" localSheetId="0" name="solver_scl" vbProcedure="false">1</definedName>
    <definedName function="false" hidden="false" localSheetId="0" name="solver_sho" vbProcedure="false">2</definedName>
    <definedName function="false" hidden="false" localSheetId="0" name="solver_ssz" vbProcedure="false">100</definedName>
    <definedName function="false" hidden="false" localSheetId="0" name="solver_tim" vbProcedure="false">2147483647</definedName>
    <definedName function="false" hidden="false" localSheetId="0" name="solver_tol" vbProcedure="false">0.01</definedName>
    <definedName function="false" hidden="false" localSheetId="0" name="solver_typ" vbProcedure="false">3</definedName>
    <definedName function="false" hidden="false" localSheetId="0" name="solver_val" vbProcedure="false">26850.83</definedName>
    <definedName function="false" hidden="false" localSheetId="0" name="solver_ver" vbProcedure="false">3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<sst xmlns="http://schemas.openxmlformats.org/spreadsheetml/2006/main" count="48" uniqueCount="44">
  <si>
    <t xml:space="preserve">A personalized deliverable from Crypto Wiz Guy™</t>
  </si>
  <si>
    <t xml:space="preserve">Color Key</t>
  </si>
  <si>
    <r>
      <rPr>
        <sz val="30"/>
        <color rgb="FF000118"/>
        <rFont val="Calibri"/>
        <family val="2"/>
        <charset val="1"/>
      </rPr>
      <t xml:space="preserve">Crypto Wiz Guy™ presents </t>
    </r>
    <r>
      <rPr>
        <b val="true"/>
        <sz val="30"/>
        <color rgb="FF000118"/>
        <rFont val="Calibri"/>
        <family val="2"/>
        <charset val="1"/>
      </rPr>
      <t xml:space="preserve">The online 5-Way Cryptocurrency Selling-for-Profit Calculator</t>
    </r>
  </si>
  <si>
    <t xml:space="preserve">Unlocked user input area</t>
  </si>
  <si>
    <t xml:space="preserve">This spreadsheet helps Coinbase crypto sellers make informed decisions about breaking even, how much they can take to the bank or reinvest, and how much profit or loss to expect.</t>
  </si>
  <si>
    <t xml:space="preserve">Locked area</t>
  </si>
  <si>
    <t xml:space="preserve">Calculations are unrounded and their values may extend to more than the decimal places shown.</t>
  </si>
  <si>
    <t xml:space="preserve">Locked output area</t>
  </si>
  <si>
    <t xml:space="preserve">Action message</t>
  </si>
  <si>
    <t xml:space="preserve">© 2023 by Crypto Wiz Guy™</t>
  </si>
  <si>
    <t xml:space="preserve">Ctrl+Shift+p to save PDF</t>
  </si>
  <si>
    <t xml:space="preserve">Before sale, from row 14</t>
  </si>
  <si>
    <t xml:space="preserve">Bought at</t>
  </si>
  <si>
    <t xml:space="preserve">Difference</t>
  </si>
  <si>
    <t xml:space="preserve">Change %</t>
  </si>
  <si>
    <t xml:space="preserve">Required</t>
  </si>
  <si>
    <t xml:space="preserve">Outputs to enter into Coinbase, Advanced Trading, Limit Sale, Post Only</t>
  </si>
  <si>
    <t xml:space="preserve">Calculations</t>
  </si>
  <si>
    <t xml:space="preserve"> Calculations, continued</t>
  </si>
  <si>
    <t xml:space="preserve">Target type and value</t>
  </si>
  <si>
    <t xml:space="preserve">Actual transaction date mm/dd/yyyy</t>
  </si>
  <si>
    <t xml:space="preserve">Fee rate</t>
  </si>
  <si>
    <t xml:space="preserve">Basis of coins on hand $</t>
  </si>
  <si>
    <t xml:space="preserve">Coins on hand</t>
  </si>
  <si>
    <t xml:space="preserve">% of coins to sell</t>
  </si>
  <si>
    <t xml:space="preserve">Coins to sell</t>
  </si>
  <si>
    <t xml:space="preserve">Selling price per full coin $</t>
  </si>
  <si>
    <t xml:space="preserve">Net proceeds $ to bank or reinvest</t>
  </si>
  <si>
    <t xml:space="preserve">Net profit (loss) $</t>
  </si>
  <si>
    <t xml:space="preserve">Gross proceeds $</t>
  </si>
  <si>
    <t xml:space="preserve">Variable selling fee $</t>
  </si>
  <si>
    <t xml:space="preserve">Net proceeds % [ratio to this sell's basis]</t>
  </si>
  <si>
    <t xml:space="preserve">Net profit (loss) % [ratio to this sell's basis]</t>
  </si>
  <si>
    <t xml:space="preserve">Gain (loss) $ [excludes selling fees]</t>
  </si>
  <si>
    <t xml:space="preserve">Basis after sale $</t>
  </si>
  <si>
    <t xml:space="preserve">Coins after sale</t>
  </si>
  <si>
    <t xml:space="preserve">1. Selling price $ target</t>
  </si>
  <si>
    <t xml:space="preserve">2. Net proceeds $ target to bank or re-invest</t>
  </si>
  <si>
    <t xml:space="preserve">3. Net proceeds % target [ratio to this sell's basis]</t>
  </si>
  <si>
    <t xml:space="preserve">Make &gt;= 0.000016</t>
  </si>
  <si>
    <t xml:space="preserve">Make &gt; current online coin price</t>
  </si>
  <si>
    <t xml:space="preserve">Make &gt;= 0.01</t>
  </si>
  <si>
    <t xml:space="preserve">4. Net profit (loss) $ target</t>
  </si>
  <si>
    <t xml:space="preserve">5. Net profit (loss) % target [ratio to this sell's basis]</t>
  </si>
</sst>
</file>

<file path=xl/styles.xml><?xml version="1.0" encoding="utf-8"?>
<styleSheet xmlns="http://schemas.openxmlformats.org/spreadsheetml/2006/main">
  <numFmts count="15">
    <numFmt numFmtId="164" formatCode="General"/>
    <numFmt numFmtId="165" formatCode="_(* #,##0.00_);_(* \(#,##0.00\);_(* \-??_);_(@_)"/>
    <numFmt numFmtId="166" formatCode="_([$$-409]* #,##0.00000000_);_([$$-409]* \(#,##0.00000000\);_([$$-409]* \-??_);_(@_)"/>
    <numFmt numFmtId="167" formatCode="_(&quot;Coins&quot;* #,##0.00_);_(&quot;Coins&quot;* \(#,##0.00\);_(&quot;Coins&quot;* \-??_);_(@_)"/>
    <numFmt numFmtId="168" formatCode="_(* #,##0.00000000_);_(* \(#,##0.00000000\);_(* \-????????_);_(@_)"/>
    <numFmt numFmtId="169" formatCode="0.00%"/>
    <numFmt numFmtId="170" formatCode="[$-409]m/d/yy\ h:mm\ AM/PM;@"/>
    <numFmt numFmtId="171" formatCode="0%"/>
    <numFmt numFmtId="172" formatCode="0.00000000%"/>
    <numFmt numFmtId="173" formatCode="_([$$-409]* #,##0.00000000_);_([$$-409]* \(#,##0.00000000\);_([$$-409]* \-????????_);_(@_)"/>
    <numFmt numFmtId="174" formatCode="m/d/yyyy"/>
    <numFmt numFmtId="175" formatCode="_(&quot;Coins&quot;* #,##0.00000000_);_(&quot;Coins&quot;* \(#,##0.00000000\);_(&quot;Coins&quot;* \-????????_);_(@_)"/>
    <numFmt numFmtId="176" formatCode="0.000%"/>
    <numFmt numFmtId="177" formatCode="_(&quot;Coins&quot;* #,##0.000000000_);_(&quot;Coins&quot;* \(#,##0.000000000\);_(&quot;Coins&quot;* \-??_);_(@_)"/>
    <numFmt numFmtId="178" formatCode="_([$$-409]* #,##0.00_);_([$$-409]* \(#,##0.00\);_([$$-409]* \-??_);_(@_)"/>
  </numFmts>
  <fonts count="2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4"/>
      <color rgb="FF000000"/>
      <name val="Calibri"/>
      <family val="2"/>
      <charset val="1"/>
    </font>
    <font>
      <sz val="11"/>
      <color rgb="FF9C0006"/>
      <name val="Calibri"/>
      <family val="2"/>
      <charset val="1"/>
    </font>
    <font>
      <sz val="16"/>
      <name val="Calibri"/>
      <family val="2"/>
      <charset val="1"/>
    </font>
    <font>
      <sz val="14"/>
      <color rgb="FFFFFFFF"/>
      <name val="Calibri"/>
      <family val="2"/>
      <charset val="1"/>
    </font>
    <font>
      <sz val="22"/>
      <color rgb="FF000000"/>
      <name val="Calibri"/>
      <family val="2"/>
      <charset val="1"/>
    </font>
    <font>
      <sz val="30"/>
      <color rgb="FF000118"/>
      <name val="Calibri"/>
      <family val="2"/>
      <charset val="1"/>
    </font>
    <font>
      <b val="true"/>
      <sz val="30"/>
      <color rgb="FF000118"/>
      <name val="Calibri"/>
      <family val="2"/>
      <charset val="1"/>
    </font>
    <font>
      <sz val="18"/>
      <color rgb="FF3F3F76"/>
      <name val="Calibri"/>
      <family val="2"/>
      <charset val="1"/>
    </font>
    <font>
      <sz val="11"/>
      <color rgb="FF3F3F76"/>
      <name val="Calibri"/>
      <family val="2"/>
      <charset val="1"/>
    </font>
    <font>
      <sz val="18"/>
      <name val="Calibri"/>
      <family val="2"/>
      <charset val="1"/>
    </font>
    <font>
      <sz val="18"/>
      <color rgb="FF000000"/>
      <name val="Calibri"/>
      <family val="2"/>
      <charset val="1"/>
    </font>
    <font>
      <sz val="16"/>
      <color rgb="FF000000"/>
      <name val="Calibri"/>
      <family val="2"/>
      <charset val="1"/>
    </font>
    <font>
      <sz val="18"/>
      <color rgb="FFFF0000"/>
      <name val="Calibri"/>
      <family val="2"/>
      <charset val="1"/>
    </font>
    <font>
      <sz val="14"/>
      <name val="Calibri"/>
      <family val="2"/>
      <charset val="1"/>
    </font>
    <font>
      <b val="true"/>
      <sz val="19"/>
      <name val="Calibri"/>
      <family val="2"/>
      <charset val="1"/>
    </font>
    <font>
      <b val="true"/>
      <sz val="19"/>
      <color rgb="FF000000"/>
      <name val="Calibri"/>
      <family val="2"/>
      <charset val="1"/>
    </font>
    <font>
      <b val="true"/>
      <sz val="20"/>
      <color rgb="FF000000"/>
      <name val="Calibri"/>
      <family val="2"/>
      <charset val="1"/>
    </font>
    <font>
      <sz val="16"/>
      <color rgb="FF3F3F76"/>
      <name val="Calibri"/>
      <family val="2"/>
      <charset val="1"/>
    </font>
    <font>
      <b val="true"/>
      <sz val="11"/>
      <color rgb="FFFA7D00"/>
      <name val="Calibri"/>
      <family val="2"/>
      <charset val="1"/>
    </font>
    <font>
      <sz val="11"/>
      <color rgb="FF006100"/>
      <name val="Calibri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FFC7CE"/>
        <bgColor rgb="FFFFCC99"/>
      </patternFill>
    </fill>
    <fill>
      <patternFill patternType="solid">
        <fgColor rgb="FFFFCC99"/>
        <bgColor rgb="FFFFC7CE"/>
      </patternFill>
    </fill>
    <fill>
      <patternFill patternType="solid">
        <fgColor rgb="FFFFFFCC"/>
        <bgColor rgb="FFFFFFFF"/>
      </patternFill>
    </fill>
    <fill>
      <patternFill patternType="solid">
        <fgColor rgb="FFF2F2F2"/>
        <bgColor rgb="FFFFFFFF"/>
      </patternFill>
    </fill>
    <fill>
      <patternFill patternType="solid">
        <fgColor rgb="FFC6EFCE"/>
        <bgColor rgb="FFC5E0B4"/>
      </patternFill>
    </fill>
    <fill>
      <patternFill patternType="solid">
        <fgColor rgb="FFFFFF00"/>
        <bgColor rgb="FFFFFF00"/>
      </patternFill>
    </fill>
    <fill>
      <patternFill patternType="solid">
        <fgColor rgb="FFFFFFFF"/>
        <bgColor rgb="FFF2F2F2"/>
      </patternFill>
    </fill>
    <fill>
      <patternFill patternType="solid">
        <fgColor rgb="FFC5E0B4"/>
        <bgColor rgb="FFC6EFCE"/>
      </patternFill>
    </fill>
  </fills>
  <borders count="20">
    <border diagonalUp="false" diagonalDown="false">
      <left/>
      <right/>
      <top/>
      <bottom/>
      <diagonal/>
    </border>
    <border diagonalUp="false" diagonalDown="false"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 diagonalUp="false" diagonalDown="false"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/>
      <right/>
      <top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/>
      <right/>
      <top style="thin">
        <color rgb="FF7F7F7F"/>
      </top>
      <bottom/>
      <diagonal/>
    </border>
    <border diagonalUp="false" diagonalDown="false">
      <left style="thin">
        <color rgb="FF7F7F7F"/>
      </left>
      <right style="thin">
        <color rgb="FF7F7F7F"/>
      </right>
      <top style="thin"/>
      <bottom style="thin">
        <color rgb="FF7F7F7F"/>
      </bottom>
      <diagonal/>
    </border>
    <border diagonalUp="false" diagonalDown="false">
      <left/>
      <right style="thin"/>
      <top style="thin"/>
      <bottom style="thin"/>
      <diagonal/>
    </border>
  </borders>
  <cellStyleXfs count="25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71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2" borderId="0" applyFont="true" applyBorder="false" applyAlignment="true" applyProtection="false">
      <alignment horizontal="general" vertical="bottom" textRotation="0" wrapText="false" indent="0" shrinkToFit="false"/>
    </xf>
    <xf numFmtId="164" fontId="12" fillId="3" borderId="1" applyFont="true" applyBorder="true" applyAlignment="true" applyProtection="false">
      <alignment horizontal="general" vertical="bottom" textRotation="0" wrapText="false" indent="0" shrinkToFit="false"/>
    </xf>
    <xf numFmtId="164" fontId="0" fillId="4" borderId="2" applyFont="true" applyBorder="true" applyAlignment="true" applyProtection="false">
      <alignment horizontal="general" vertical="bottom" textRotation="0" wrapText="false" indent="0" shrinkToFit="false"/>
    </xf>
    <xf numFmtId="164" fontId="22" fillId="5" borderId="1" applyFont="true" applyBorder="true" applyAlignment="true" applyProtection="false">
      <alignment horizontal="general" vertical="bottom" textRotation="0" wrapText="false" indent="0" shrinkToFit="false"/>
    </xf>
    <xf numFmtId="164" fontId="23" fillId="6" borderId="0" applyFont="true" applyBorder="false" applyAlignment="true" applyProtection="false">
      <alignment horizontal="general" vertical="bottom" textRotation="0" wrapText="false" indent="0" shrinkToFit="false"/>
    </xf>
  </cellStyleXfs>
  <cellXfs count="14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4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8" fontId="6" fillId="0" borderId="0" xfId="2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6" fontId="4" fillId="0" borderId="0" xfId="15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4" fillId="0" borderId="0" xfId="0" applyFont="true" applyBorder="false" applyAlignment="true" applyProtection="true">
      <alignment horizontal="right" vertical="top" textRotation="0" wrapText="true" indent="0" shrinkToFit="false"/>
      <protection locked="true" hidden="false"/>
    </xf>
    <xf numFmtId="167" fontId="4" fillId="0" borderId="0" xfId="0" applyFont="true" applyBorder="false" applyAlignment="true" applyProtection="true">
      <alignment horizontal="right" vertical="top" textRotation="0" wrapText="true" indent="0" shrinkToFit="false"/>
      <protection locked="true" hidden="false"/>
    </xf>
    <xf numFmtId="169" fontId="11" fillId="3" borderId="1" xfId="21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13" fillId="0" borderId="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3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4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3" fillId="0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14" fillId="4" borderId="3" xfId="2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3" borderId="4" xfId="21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6" fontId="15" fillId="0" borderId="0" xfId="1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6" fillId="7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14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6" fontId="17" fillId="0" borderId="0" xfId="15" applyFont="true" applyBorder="true" applyAlignment="true" applyProtection="true">
      <alignment horizontal="general" vertical="top" textRotation="0" wrapText="false" indent="0" shrinkToFit="false"/>
      <protection locked="true" hidden="false"/>
    </xf>
    <xf numFmtId="170" fontId="17" fillId="0" borderId="0" xfId="21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6" fontId="4" fillId="0" borderId="0" xfId="1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4" fillId="0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64" fontId="16" fillId="7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0" fontId="17" fillId="0" borderId="0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5" fillId="0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6" fontId="15" fillId="0" borderId="6" xfId="15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15" fillId="0" borderId="7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6" fontId="4" fillId="0" borderId="0" xfId="15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6" fontId="4" fillId="0" borderId="0" xfId="15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6" fillId="0" borderId="0" xfId="2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6" fontId="15" fillId="0" borderId="8" xfId="15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72" fontId="15" fillId="0" borderId="9" xfId="19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70" fontId="17" fillId="0" borderId="10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6" fontId="17" fillId="0" borderId="0" xfId="15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6" fontId="15" fillId="0" borderId="0" xfId="15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6" fontId="15" fillId="0" borderId="0" xfId="15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72" fontId="15" fillId="0" borderId="0" xfId="19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6" fontId="6" fillId="0" borderId="11" xfId="15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5" fillId="4" borderId="11" xfId="22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6" fontId="15" fillId="0" borderId="11" xfId="1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6" fontId="6" fillId="0" borderId="11" xfId="1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8" fillId="8" borderId="3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18" fillId="0" borderId="3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8" fillId="0" borderId="12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6" fontId="18" fillId="0" borderId="12" xfId="15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8" fillId="0" borderId="13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8" fillId="4" borderId="14" xfId="22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6" fontId="18" fillId="4" borderId="15" xfId="15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6" fontId="18" fillId="0" borderId="9" xfId="15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8" fillId="0" borderId="1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9" fillId="0" borderId="1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6" fontId="19" fillId="0" borderId="9" xfId="15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6" fontId="19" fillId="0" borderId="12" xfId="15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9" fillId="0" borderId="12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8" fillId="8" borderId="6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18" fillId="0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8" fillId="0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6" fontId="18" fillId="0" borderId="0" xfId="15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9" fillId="0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6" fontId="19" fillId="0" borderId="0" xfId="15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9" fillId="0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20" fillId="0" borderId="0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15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73" fontId="15" fillId="0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73" fontId="15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7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73" fontId="21" fillId="3" borderId="1" xfId="21" applyFont="true" applyBorder="false" applyAlignment="true" applyProtection="true">
      <alignment horizontal="right" vertical="center" textRotation="0" wrapText="true" indent="0" shrinkToFit="false"/>
      <protection locked="false" hidden="false"/>
    </xf>
    <xf numFmtId="174" fontId="21" fillId="3" borderId="1" xfId="21" applyFont="true" applyBorder="false" applyAlignment="true" applyProtection="true">
      <alignment horizontal="center" vertical="center" textRotation="0" wrapText="true" indent="0" shrinkToFit="false"/>
      <protection locked="false" hidden="false"/>
    </xf>
    <xf numFmtId="169" fontId="21" fillId="3" borderId="1" xfId="21" applyFont="true" applyBorder="false" applyAlignment="true" applyProtection="true">
      <alignment horizontal="general" vertical="center" textRotation="0" wrapText="true" indent="0" shrinkToFit="false"/>
      <protection locked="false" hidden="false"/>
    </xf>
    <xf numFmtId="166" fontId="21" fillId="3" borderId="1" xfId="15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5" fontId="21" fillId="3" borderId="1" xfId="21" applyFont="true" applyBorder="false" applyAlignment="true" applyProtection="true">
      <alignment horizontal="center" vertical="center" textRotation="0" wrapText="true" indent="0" shrinkToFit="false"/>
      <protection locked="false" hidden="false"/>
    </xf>
    <xf numFmtId="176" fontId="21" fillId="3" borderId="1" xfId="21" applyFont="true" applyBorder="false" applyAlignment="true" applyProtection="true">
      <alignment horizontal="general" vertical="center" textRotation="0" wrapText="true" indent="0" shrinkToFit="false"/>
      <protection locked="false" hidden="false"/>
    </xf>
    <xf numFmtId="175" fontId="6" fillId="9" borderId="3" xfId="23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6" fillId="9" borderId="3" xfId="15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6" fillId="9" borderId="3" xfId="24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7" fontId="6" fillId="9" borderId="3" xfId="24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5" fillId="0" borderId="17" xfId="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73" fontId="15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6" fontId="6" fillId="0" borderId="0" xfId="15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5" fontId="6" fillId="0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6" fontId="6" fillId="0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3" fontId="6" fillId="8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6" fontId="6" fillId="8" borderId="0" xfId="15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6" fontId="6" fillId="8" borderId="0" xfId="15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6" fillId="8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7" fontId="6" fillId="8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4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4" fontId="15" fillId="0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75" fontId="15" fillId="0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76" fontId="15" fillId="0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73" fontId="6" fillId="0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6" fontId="6" fillId="0" borderId="0" xfId="15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20" fillId="0" borderId="8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17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73" fontId="21" fillId="3" borderId="18" xfId="21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4" fontId="6" fillId="0" borderId="0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9" fontId="6" fillId="8" borderId="19" xfId="21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6" fontId="6" fillId="8" borderId="3" xfId="15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5" fontId="6" fillId="8" borderId="3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6" fillId="8" borderId="3" xfId="21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6" fontId="6" fillId="9" borderId="3" xfId="15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15" fillId="0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78" fontId="6" fillId="8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6" fontId="6" fillId="8" borderId="0" xfId="15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75" fontId="6" fillId="8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76" fontId="6" fillId="8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76" fontId="6" fillId="8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7" fontId="6" fillId="8" borderId="0" xfId="19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6" fontId="6" fillId="0" borderId="0" xfId="15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75" fontId="6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78" fontId="6" fillId="0" borderId="0" xfId="15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72" fontId="21" fillId="3" borderId="1" xfId="21" applyFont="true" applyBorder="false" applyAlignment="true" applyProtection="true">
      <alignment horizontal="right" vertical="center" textRotation="0" wrapText="true" indent="0" shrinkToFit="false"/>
      <protection locked="false" hidden="false"/>
    </xf>
    <xf numFmtId="174" fontId="6" fillId="0" borderId="3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9" fontId="6" fillId="8" borderId="3" xfId="21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6" fontId="6" fillId="9" borderId="5" xfId="15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7" fontId="6" fillId="9" borderId="3" xfId="23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6" fillId="8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73" fontId="6" fillId="8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6" fontId="6" fillId="8" borderId="0" xfId="15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7" fontId="6" fillId="8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6" fontId="6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76" fontId="6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73" fontId="21" fillId="3" borderId="1" xfId="21" applyFont="true" applyBorder="false" applyAlignment="true" applyProtection="true">
      <alignment horizontal="center" vertical="center" textRotation="0" wrapText="true" indent="0" shrinkToFit="false"/>
      <protection locked="false" hidden="false"/>
    </xf>
    <xf numFmtId="176" fontId="6" fillId="0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73" fontId="6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6" fontId="6" fillId="0" borderId="0" xfId="15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6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72" fontId="6" fillId="9" borderId="5" xfId="24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3" fontId="15" fillId="0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11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Excel Built-in Bad" xfId="20"/>
    <cellStyle name="Excel Built-in Input" xfId="21"/>
    <cellStyle name="Excel Built-in Note" xfId="22"/>
    <cellStyle name="Excel Built-in Calculation" xfId="23"/>
    <cellStyle name="Excel Built-in Good" xfId="24"/>
  </cellStyles>
  <dxfs count="64">
    <dxf>
      <font>
        <color rgb="FFFFFFFF"/>
      </font>
      <fill>
        <patternFill>
          <bgColor rgb="FFFFFFFF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</dxf>
    <dxf>
      <font>
        <color rgb="FFFFFFFF"/>
      </font>
      <fill>
        <patternFill>
          <bgColor rgb="FFFFFFFF"/>
        </patternFill>
      </fill>
      <border diagonalUp="false" diagonalDown="false">
        <left style="thin"/>
        <right style="thin"/>
        <top style="thin"/>
        <bottom style="thin"/>
        <diagonal/>
      </border>
    </dxf>
    <dxf>
      <font>
        <color rgb="FFFFFFFF"/>
      </font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color rgb="FFFFFFFF"/>
      </font>
      <fill>
        <patternFill>
          <bgColor rgb="FFFFFFFF"/>
        </patternFill>
      </fill>
      <border diagonalUp="false" diagonalDown="false">
        <left style="thin"/>
        <right style="thin"/>
        <top style="thin"/>
        <bottom style="thin"/>
        <diagonal/>
      </border>
    </dxf>
    <dxf>
      <font>
        <color rgb="FFFFFFFF"/>
      </font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color rgb="FFFFFFFF"/>
      </font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color rgb="FFFFFFFF"/>
      </font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color rgb="FFFFFFFF"/>
      </font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color rgb="FFFFFFFF"/>
      </font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color rgb="FFFFFFFF"/>
      </font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color rgb="FFFFFFFF"/>
      </font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color rgb="FFFFFFFF"/>
      </font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color rgb="FFFFFFFF"/>
      </font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color rgb="FFFFFFFF"/>
      </font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color rgb="FFFFFFFF"/>
      </font>
      <fill>
        <patternFill>
          <bgColor rgb="FFFFFFFF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FFFF"/>
        </patternFill>
      </fill>
      <border diagonalUp="false" diagonalDown="false">
        <left/>
        <right/>
        <top style="thin"/>
        <bottom/>
        <diagonal/>
      </border>
    </dxf>
    <dxf>
      <font>
        <color rgb="FFFFFFFF"/>
      </font>
      <fill>
        <patternFill>
          <bgColor rgb="FFFFFFFF"/>
        </patternFill>
      </fill>
      <border diagonalUp="false" diagonalDown="false">
        <left/>
        <right/>
        <top style="thin"/>
        <bottom/>
        <diagonal/>
      </border>
    </dxf>
    <dxf>
      <font>
        <color rgb="FFFF0000"/>
      </font>
      <fill>
        <patternFill>
          <bgColor rgb="FFFFFF00"/>
        </patternFill>
      </fill>
      <border diagonalUp="false" diagonalDown="false">
        <left/>
        <right/>
        <top style="thin"/>
        <bottom/>
        <diagonal/>
      </border>
    </dxf>
    <dxf>
      <font>
        <color rgb="FFFFFFFF"/>
      </font>
      <fill>
        <patternFill>
          <bgColor rgb="FFFFFFFF"/>
        </patternFill>
      </fill>
    </dxf>
    <dxf>
      <font>
        <color rgb="FFFF3333"/>
      </font>
      <fill>
        <patternFill>
          <bgColor rgb="FFFFFF00"/>
        </patternFill>
      </fill>
    </dxf>
    <dxf>
      <font>
        <color rgb="FFFFFFFF"/>
      </font>
      <fill>
        <patternFill>
          <bgColor rgb="FFFFFFFF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FFFF"/>
        </patternFill>
      </fill>
    </dxf>
    <dxf>
      <font>
        <color rgb="FFFFFFFF"/>
      </font>
      <fill>
        <patternFill>
          <bgColor rgb="FFFFFFFF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FFFF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color rgb="FFFFFFFF"/>
      </font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color rgb="FFFFFFFF"/>
      </font>
      <fill>
        <patternFill>
          <bgColor rgb="FFFFFFFF"/>
        </patternFill>
      </fill>
    </dxf>
    <dxf>
      <font>
        <color rgb="FFFFFFFF"/>
      </font>
      <fill>
        <patternFill>
          <bgColor rgb="FFFFFFFF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FFFF"/>
        </patternFill>
      </fill>
    </dxf>
    <dxf>
      <font>
        <color rgb="FFFF0000"/>
      </font>
      <fill>
        <patternFill>
          <bgColor rgb="FFFFFF00"/>
        </patternFill>
      </fill>
    </dxf>
    <dxf>
      <border diagonalUp="false" diagonalDown="false">
        <left style="thin"/>
        <right style="thin"/>
        <top style="thin"/>
        <bottom style="thin"/>
        <diagonal/>
      </border>
    </dxf>
    <dxf>
      <font>
        <color rgb="FFFFFFFF"/>
      </font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font>
        <color rgb="FFFFFFFF"/>
      </font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color rgb="FFFFFFFF"/>
      </font>
      <fill>
        <patternFill>
          <bgColor rgb="FFFFFFFF"/>
        </patternFill>
      </fill>
    </dxf>
    <dxf>
      <font>
        <color rgb="FFFFFFFF"/>
      </font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color rgb="FFFFFFFF"/>
      </font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color rgb="FFFFFFFF"/>
      </font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color rgb="FFFFFFFF"/>
      </font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color rgb="FFFFFFFF"/>
      </font>
      <fill>
        <patternFill>
          <bgColor rgb="FFFFFFFF"/>
        </patternFill>
      </fill>
      <border diagonalUp="false" diagonalDown="false">
        <left/>
        <right/>
        <top style="thin"/>
        <bottom/>
        <diagonal/>
      </border>
    </dxf>
    <dxf>
      <font>
        <color rgb="FFFFFFFF"/>
      </font>
      <fill>
        <patternFill>
          <bgColor rgb="FFFFFFFF"/>
        </patternFill>
      </fill>
      <border diagonalUp="false" diagonalDown="false">
        <left/>
        <right/>
        <top style="thin"/>
        <bottom/>
        <diagonal/>
      </border>
    </dxf>
    <dxf>
      <font>
        <color rgb="FFFF0000"/>
      </font>
      <fill>
        <patternFill>
          <bgColor rgb="FFFFFF00"/>
        </patternFill>
      </fill>
      <border diagonalUp="false" diagonalDown="false">
        <left/>
        <right/>
        <top style="thin"/>
        <bottom/>
        <diagonal/>
      </border>
    </dxf>
    <dxf>
      <font>
        <color rgb="FFFFFFFF"/>
      </font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color rgb="FFFFFFFF"/>
      </font>
      <fill>
        <patternFill>
          <bgColor rgb="FFFFFFFF"/>
        </patternFill>
      </fill>
      <border diagonalUp="false" diagonalDown="false">
        <left/>
        <right/>
        <top style="thin"/>
        <bottom/>
        <diagonal/>
      </border>
    </dxf>
    <dxf>
      <font>
        <color rgb="FFFF0000"/>
      </font>
      <fill>
        <patternFill>
          <bgColor rgb="FFFFFF00"/>
        </patternFill>
      </fill>
      <border diagonalUp="false" diagonalDown="false">
        <left/>
        <right/>
        <top style="thin"/>
        <bottom/>
        <diagonal/>
      </border>
    </dxf>
    <dxf>
      <font>
        <color rgb="FFFFFFFF"/>
      </font>
      <fill>
        <patternFill>
          <bgColor rgb="FFFFFFFF"/>
        </patternFill>
      </fill>
      <border diagonalUp="false" diagonalDown="false">
        <left/>
        <right/>
        <top style="thin"/>
        <bottom/>
        <diagonal/>
      </border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FFFF"/>
        </patternFill>
      </fill>
    </dxf>
    <dxf>
      <font>
        <color rgb="FFFFFFFF"/>
      </font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color rgb="FFFFFFFF"/>
      </font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color rgb="FFFFFFFF"/>
      </font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color rgb="FFFFFFFF"/>
      </font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FFFF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FF"/>
      </font>
      <fill>
        <patternFill>
          <bgColor rgb="FFFFFFFF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118"/>
      <rgbColor rgb="FF808000"/>
      <rgbColor rgb="FF800080"/>
      <rgbColor rgb="FF008080"/>
      <rgbColor rgb="FFB2B2B2"/>
      <rgbColor rgb="FF7F7F7F"/>
      <rgbColor rgb="FF9999FF"/>
      <rgbColor rgb="FFFF3333"/>
      <rgbColor rgb="FFFFFFCC"/>
      <rgbColor rgb="FFF2F2F2"/>
      <rgbColor rgb="FF660066"/>
      <rgbColor rgb="FFFF8080"/>
      <rgbColor rgb="FF0066CC"/>
      <rgbColor rgb="FFC5E0B4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FF99"/>
      <rgbColor rgb="FF99CCFF"/>
      <rgbColor rgb="FFFFC7CE"/>
      <rgbColor rgb="FFCC99FF"/>
      <rgbColor rgb="FFFFCC99"/>
      <rgbColor rgb="FF3366FF"/>
      <rgbColor rgb="FF33CCCC"/>
      <rgbColor rgb="FF92D050"/>
      <rgbColor rgb="FFFFCC00"/>
      <rgbColor rgb="FFFF9900"/>
      <rgbColor rgb="FFFA7D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F3F76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92D050"/>
    <pageSetUpPr fitToPage="false"/>
  </sheetPr>
  <dimension ref="A1:S483"/>
  <sheetViews>
    <sheetView showFormulas="false" showGridLines="false" showRowColHeaders="true" showZeros="true" rightToLeft="false" tabSelected="true" showOutlineSymbols="true" defaultGridColor="true" view="normal" topLeftCell="A1" colorId="64" zoomScale="55" zoomScaleNormal="55" zoomScalePageLayoutView="100" workbookViewId="0">
      <pane xSplit="3" ySplit="11" topLeftCell="D12" activePane="bottomRight" state="frozen"/>
      <selection pane="topLeft" activeCell="A1" activeCellId="0" sqref="A1"/>
      <selection pane="topRight" activeCell="D1" activeCellId="0" sqref="D1"/>
      <selection pane="bottomLeft" activeCell="A12" activeCellId="0" sqref="A12"/>
      <selection pane="bottomRight" activeCell="G19" activeCellId="0" sqref="G19"/>
    </sheetView>
  </sheetViews>
  <sheetFormatPr defaultColWidth="9.109375" defaultRowHeight="19.7" zeroHeight="false" outlineLevelRow="0" outlineLevelCol="0"/>
  <cols>
    <col collapsed="false" customWidth="true" hidden="false" outlineLevel="0" max="1" min="1" style="1" width="5.44"/>
    <col collapsed="false" customWidth="true" hidden="false" outlineLevel="0" max="2" min="2" style="1" width="30.56"/>
    <col collapsed="false" customWidth="true" hidden="false" outlineLevel="0" max="3" min="3" style="1" width="22.44"/>
    <col collapsed="false" customWidth="true" hidden="false" outlineLevel="0" max="4" min="4" style="1" width="18.11"/>
    <col collapsed="false" customWidth="true" hidden="false" outlineLevel="0" max="5" min="5" style="2" width="32"/>
    <col collapsed="false" customWidth="true" hidden="false" outlineLevel="0" max="6" min="6" style="1" width="25.56"/>
    <col collapsed="false" customWidth="true" hidden="false" outlineLevel="0" max="7" min="7" style="1" width="18"/>
    <col collapsed="false" customWidth="true" hidden="false" outlineLevel="0" max="8" min="8" style="1" width="28.33"/>
    <col collapsed="false" customWidth="true" hidden="false" outlineLevel="0" max="9" min="9" style="2" width="28"/>
    <col collapsed="false" customWidth="true" hidden="false" outlineLevel="0" max="10" min="10" style="2" width="28.44"/>
    <col collapsed="false" customWidth="true" hidden="false" outlineLevel="0" max="11" min="11" style="2" width="29.33"/>
    <col collapsed="false" customWidth="true" hidden="false" outlineLevel="0" max="12" min="12" style="2" width="31.56"/>
    <col collapsed="false" customWidth="true" hidden="false" outlineLevel="0" max="13" min="13" style="2" width="24.21"/>
    <col collapsed="false" customWidth="true" hidden="false" outlineLevel="0" max="14" min="14" style="3" width="27"/>
    <col collapsed="false" customWidth="true" hidden="false" outlineLevel="0" max="15" min="15" style="1" width="28"/>
    <col collapsed="false" customWidth="true" hidden="false" outlineLevel="0" max="16" min="16" style="2" width="30.44"/>
    <col collapsed="false" customWidth="true" hidden="false" outlineLevel="0" max="17" min="17" style="2" width="27.88"/>
    <col collapsed="false" customWidth="true" hidden="false" outlineLevel="0" max="18" min="18" style="1" width="28.44"/>
    <col collapsed="false" customWidth="true" hidden="false" outlineLevel="0" max="19" min="19" style="4" width="26.56"/>
    <col collapsed="false" customWidth="false" hidden="false" outlineLevel="0" max="16384" min="20" style="1" width="9.11"/>
  </cols>
  <sheetData>
    <row r="1" customFormat="false" ht="21" hidden="false" customHeight="false" outlineLevel="0" collapsed="false">
      <c r="A1" s="5" t="s">
        <v>0</v>
      </c>
    </row>
    <row r="2" customFormat="false" ht="38.25" hidden="false" customHeight="false" outlineLevel="0" collapsed="false">
      <c r="B2" s="6" t="s">
        <v>1</v>
      </c>
      <c r="C2" s="7"/>
      <c r="D2" s="8" t="s">
        <v>2</v>
      </c>
      <c r="N2" s="9"/>
      <c r="Q2" s="10"/>
      <c r="R2" s="11"/>
      <c r="S2" s="12"/>
    </row>
    <row r="3" customFormat="false" ht="40.5" hidden="false" customHeight="true" outlineLevel="0" collapsed="false">
      <c r="B3" s="13" t="s">
        <v>3</v>
      </c>
      <c r="D3" s="14" t="s">
        <v>4</v>
      </c>
      <c r="E3" s="14"/>
      <c r="F3" s="14"/>
      <c r="G3" s="14"/>
      <c r="H3" s="14"/>
      <c r="I3" s="14"/>
      <c r="J3" s="14"/>
      <c r="K3" s="14"/>
    </row>
    <row r="4" customFormat="false" ht="40.5" hidden="false" customHeight="true" outlineLevel="0" collapsed="false">
      <c r="B4" s="15" t="s">
        <v>5</v>
      </c>
      <c r="D4" s="16" t="s">
        <v>6</v>
      </c>
      <c r="E4" s="17"/>
      <c r="F4" s="17"/>
      <c r="G4" s="17"/>
      <c r="H4" s="17"/>
      <c r="I4" s="17"/>
      <c r="J4" s="17"/>
      <c r="K4" s="17"/>
    </row>
    <row r="5" customFormat="false" ht="40.5" hidden="false" customHeight="true" outlineLevel="0" collapsed="false">
      <c r="B5" s="18" t="s">
        <v>7</v>
      </c>
      <c r="D5" s="19"/>
      <c r="E5" s="19"/>
      <c r="F5" s="19"/>
      <c r="G5" s="19"/>
      <c r="H5" s="19"/>
      <c r="I5" s="19"/>
      <c r="J5" s="19"/>
      <c r="K5" s="19"/>
      <c r="L5" s="20" t="n">
        <f aca="false">+D5</f>
        <v>0</v>
      </c>
      <c r="M5" s="20"/>
      <c r="N5" s="20"/>
      <c r="O5" s="20"/>
      <c r="P5" s="20"/>
      <c r="Q5" s="20"/>
      <c r="R5" s="20"/>
    </row>
    <row r="6" customFormat="false" ht="40.5" hidden="false" customHeight="true" outlineLevel="0" collapsed="false">
      <c r="B6" s="21" t="s">
        <v>8</v>
      </c>
      <c r="C6" s="22"/>
      <c r="D6" s="23" t="s">
        <v>9</v>
      </c>
      <c r="E6" s="24"/>
      <c r="F6" s="25"/>
      <c r="G6" s="25"/>
      <c r="I6" s="1"/>
      <c r="J6" s="1"/>
      <c r="K6" s="1"/>
      <c r="M6" s="26"/>
    </row>
    <row r="7" customFormat="false" ht="23.25" hidden="false" customHeight="true" outlineLevel="0" collapsed="false">
      <c r="B7" s="27"/>
      <c r="C7" s="28"/>
      <c r="D7" s="29" t="s">
        <v>10</v>
      </c>
      <c r="E7" s="29"/>
      <c r="F7" s="30"/>
      <c r="G7" s="30"/>
      <c r="H7" s="31" t="s">
        <v>11</v>
      </c>
      <c r="I7" s="32" t="s">
        <v>12</v>
      </c>
      <c r="J7" s="32" t="s">
        <v>13</v>
      </c>
      <c r="K7" s="33" t="s">
        <v>14</v>
      </c>
      <c r="L7" s="34"/>
      <c r="M7" s="35"/>
      <c r="N7" s="36"/>
      <c r="O7" s="27"/>
      <c r="P7" s="34"/>
      <c r="Q7" s="34"/>
      <c r="R7" s="27"/>
    </row>
    <row r="8" customFormat="false" ht="21" hidden="false" customHeight="false" outlineLevel="0" collapsed="false">
      <c r="B8" s="27"/>
      <c r="C8" s="28"/>
      <c r="D8" s="29"/>
      <c r="E8" s="29"/>
      <c r="F8" s="30"/>
      <c r="G8" s="30"/>
      <c r="H8" s="31"/>
      <c r="I8" s="37" t="n">
        <f aca="false">IF(F14=0,0,E14/F14)</f>
        <v>0.666666666666667</v>
      </c>
      <c r="J8" s="37" t="n">
        <f aca="false">+I14-I8</f>
        <v>1229.33333333333</v>
      </c>
      <c r="K8" s="38" t="n">
        <f aca="false">IF(I8=0,0,(I14-I8)/I8)</f>
        <v>1844</v>
      </c>
      <c r="L8" s="34"/>
      <c r="M8" s="35"/>
      <c r="N8" s="36"/>
      <c r="O8" s="27"/>
      <c r="P8" s="34"/>
      <c r="Q8" s="34"/>
      <c r="R8" s="27"/>
    </row>
    <row r="9" customFormat="false" ht="9.75" hidden="false" customHeight="true" outlineLevel="0" collapsed="false">
      <c r="B9" s="27"/>
      <c r="C9" s="28"/>
      <c r="D9" s="39"/>
      <c r="E9" s="40"/>
      <c r="F9" s="30"/>
      <c r="G9" s="30"/>
      <c r="H9" s="41"/>
      <c r="I9" s="42"/>
      <c r="J9" s="42"/>
      <c r="K9" s="42"/>
      <c r="L9" s="43"/>
      <c r="M9" s="35"/>
      <c r="N9" s="36"/>
      <c r="O9" s="27"/>
      <c r="P9" s="34"/>
      <c r="Q9" s="34"/>
      <c r="R9" s="27"/>
    </row>
    <row r="10" s="44" customFormat="true" ht="43.5" hidden="false" customHeight="true" outlineLevel="0" collapsed="false">
      <c r="B10" s="45"/>
      <c r="C10" s="45"/>
      <c r="D10" s="46" t="s">
        <v>15</v>
      </c>
      <c r="E10" s="46"/>
      <c r="F10" s="46"/>
      <c r="G10" s="46"/>
      <c r="H10" s="47" t="s">
        <v>16</v>
      </c>
      <c r="I10" s="47"/>
      <c r="J10" s="48" t="s">
        <v>17</v>
      </c>
      <c r="K10" s="48"/>
      <c r="L10" s="49" t="s">
        <v>18</v>
      </c>
      <c r="M10" s="49"/>
      <c r="N10" s="49"/>
      <c r="O10" s="49"/>
      <c r="P10" s="49"/>
      <c r="Q10" s="49"/>
      <c r="R10" s="49"/>
    </row>
    <row r="11" s="50" customFormat="true" ht="100.5" hidden="false" customHeight="true" outlineLevel="0" collapsed="false">
      <c r="B11" s="51" t="s">
        <v>19</v>
      </c>
      <c r="C11" s="52" t="s">
        <v>20</v>
      </c>
      <c r="D11" s="53" t="s">
        <v>21</v>
      </c>
      <c r="E11" s="54" t="s">
        <v>22</v>
      </c>
      <c r="F11" s="55" t="s">
        <v>23</v>
      </c>
      <c r="G11" s="55" t="s">
        <v>24</v>
      </c>
      <c r="H11" s="56" t="s">
        <v>25</v>
      </c>
      <c r="I11" s="57" t="s">
        <v>26</v>
      </c>
      <c r="J11" s="58" t="s">
        <v>27</v>
      </c>
      <c r="K11" s="54" t="s">
        <v>28</v>
      </c>
      <c r="L11" s="54" t="s">
        <v>29</v>
      </c>
      <c r="M11" s="54" t="s">
        <v>30</v>
      </c>
      <c r="N11" s="59" t="s">
        <v>31</v>
      </c>
      <c r="O11" s="60" t="s">
        <v>32</v>
      </c>
      <c r="P11" s="61" t="s">
        <v>33</v>
      </c>
      <c r="Q11" s="62" t="s">
        <v>34</v>
      </c>
      <c r="R11" s="63" t="s">
        <v>35</v>
      </c>
    </row>
    <row r="12" s="50" customFormat="true" ht="41.25" hidden="false" customHeight="true" outlineLevel="0" collapsed="false">
      <c r="B12" s="64"/>
      <c r="C12" s="65"/>
      <c r="D12" s="66"/>
      <c r="E12" s="67"/>
      <c r="F12" s="66"/>
      <c r="G12" s="66"/>
      <c r="H12" s="67"/>
      <c r="I12" s="67"/>
      <c r="J12" s="67"/>
      <c r="K12" s="67"/>
      <c r="L12" s="67"/>
      <c r="M12" s="67"/>
      <c r="N12" s="66"/>
      <c r="O12" s="68"/>
      <c r="P12" s="69"/>
      <c r="Q12" s="69"/>
      <c r="R12" s="70"/>
    </row>
    <row r="13" customFormat="false" ht="25.5" hidden="false" customHeight="true" outlineLevel="0" collapsed="false">
      <c r="B13" s="71" t="s">
        <v>36</v>
      </c>
      <c r="C13" s="71"/>
      <c r="D13" s="72"/>
      <c r="E13" s="42"/>
      <c r="F13" s="27"/>
      <c r="G13" s="72"/>
      <c r="H13" s="27"/>
      <c r="I13" s="27"/>
      <c r="J13" s="41"/>
      <c r="K13" s="41"/>
      <c r="L13" s="27"/>
      <c r="M13" s="41"/>
      <c r="N13" s="73"/>
      <c r="O13" s="73"/>
      <c r="P13" s="41"/>
      <c r="Q13" s="41"/>
      <c r="R13" s="73"/>
      <c r="S13" s="74"/>
    </row>
    <row r="14" s="75" customFormat="true" ht="24" hidden="false" customHeight="true" outlineLevel="0" collapsed="false">
      <c r="B14" s="76" t="n">
        <v>1230</v>
      </c>
      <c r="C14" s="77"/>
      <c r="D14" s="78" t="n">
        <v>0.004</v>
      </c>
      <c r="E14" s="79" t="n">
        <v>100</v>
      </c>
      <c r="F14" s="80" t="n">
        <v>150</v>
      </c>
      <c r="G14" s="81" t="n">
        <v>0.2</v>
      </c>
      <c r="H14" s="82" t="n">
        <v>50</v>
      </c>
      <c r="I14" s="83" t="n">
        <f aca="false">IF(B14=0,0,B14)</f>
        <v>1230</v>
      </c>
      <c r="J14" s="83" t="n">
        <f aca="false">+L14-M14</f>
        <v>61254</v>
      </c>
      <c r="K14" s="83" t="n">
        <f aca="false">+J14-(E14*G14)</f>
        <v>61234</v>
      </c>
      <c r="L14" s="83" t="n">
        <f aca="false">+H14*I14</f>
        <v>61500</v>
      </c>
      <c r="M14" s="83" t="n">
        <f aca="false">L14*D14</f>
        <v>246</v>
      </c>
      <c r="N14" s="84" t="n">
        <f aca="false">IF(OR(E14=0,G14=0),0,+J14/(E14*G14))</f>
        <v>3062.7</v>
      </c>
      <c r="O14" s="84" t="n">
        <f aca="false">+IF(OR(B14=0,E14=0,G14=0),0,K14/(E14*G14))</f>
        <v>3061.7</v>
      </c>
      <c r="P14" s="83" t="n">
        <f aca="false">(K14+M14)</f>
        <v>61480</v>
      </c>
      <c r="Q14" s="83" t="n">
        <f aca="false">(E14*(1-G14))</f>
        <v>80</v>
      </c>
      <c r="R14" s="85" t="n">
        <f aca="false">(F14*(1-G14))</f>
        <v>120</v>
      </c>
    </row>
    <row r="15" s="1" customFormat="true" ht="41.25" hidden="false" customHeight="true" outlineLevel="0" collapsed="false">
      <c r="B15" s="86"/>
      <c r="C15" s="86"/>
      <c r="D15" s="87"/>
      <c r="E15" s="88"/>
      <c r="F15" s="89"/>
      <c r="G15" s="90"/>
      <c r="H15" s="91"/>
      <c r="I15" s="92"/>
      <c r="J15" s="92"/>
      <c r="K15" s="93"/>
      <c r="L15" s="93"/>
      <c r="M15" s="93"/>
      <c r="N15" s="94"/>
      <c r="O15" s="94"/>
      <c r="P15" s="93"/>
      <c r="Q15" s="92"/>
      <c r="R15" s="95"/>
    </row>
    <row r="16" s="96" customFormat="true" ht="41.25" hidden="false" customHeight="true" outlineLevel="0" collapsed="false">
      <c r="B16" s="97"/>
      <c r="C16" s="97"/>
      <c r="D16" s="98"/>
      <c r="E16" s="41"/>
      <c r="F16" s="99"/>
      <c r="G16" s="100"/>
      <c r="H16" s="101"/>
      <c r="I16" s="102"/>
      <c r="J16" s="102"/>
      <c r="K16" s="102"/>
      <c r="L16" s="102"/>
      <c r="M16" s="102"/>
      <c r="N16" s="101"/>
      <c r="O16" s="101"/>
      <c r="P16" s="102"/>
      <c r="Q16" s="102"/>
      <c r="R16" s="101"/>
    </row>
    <row r="17" s="96" customFormat="true" ht="45.75" hidden="false" customHeight="true" outlineLevel="0" collapsed="false">
      <c r="B17" s="103" t="s">
        <v>37</v>
      </c>
      <c r="C17" s="103"/>
      <c r="D17" s="98"/>
      <c r="E17" s="41"/>
      <c r="F17" s="99"/>
      <c r="G17" s="100"/>
      <c r="H17" s="101"/>
      <c r="I17" s="102"/>
      <c r="J17" s="102"/>
      <c r="K17" s="102"/>
      <c r="L17" s="102"/>
      <c r="M17" s="102"/>
      <c r="N17" s="101"/>
      <c r="O17" s="101"/>
      <c r="P17" s="102"/>
      <c r="Q17" s="102"/>
      <c r="R17" s="101"/>
    </row>
    <row r="18" s="104" customFormat="true" ht="24" hidden="false" customHeight="true" outlineLevel="0" collapsed="false">
      <c r="B18" s="105"/>
      <c r="C18" s="106" t="str">
        <f aca="false">IF($C$14=0,"",$C$14)</f>
        <v/>
      </c>
      <c r="D18" s="107"/>
      <c r="E18" s="108"/>
      <c r="F18" s="109"/>
      <c r="G18" s="110"/>
      <c r="H18" s="82"/>
      <c r="I18" s="111"/>
      <c r="J18" s="83"/>
      <c r="K18" s="83"/>
      <c r="L18" s="83"/>
      <c r="M18" s="83"/>
      <c r="N18" s="84"/>
      <c r="O18" s="84"/>
      <c r="P18" s="83"/>
      <c r="Q18" s="83"/>
      <c r="R18" s="85"/>
    </row>
    <row r="19" s="1" customFormat="true" ht="42" hidden="false" customHeight="false" outlineLevel="0" collapsed="false">
      <c r="B19" s="0"/>
      <c r="C19" s="112"/>
      <c r="D19" s="113"/>
      <c r="E19" s="114"/>
      <c r="F19" s="115"/>
      <c r="G19" s="116"/>
      <c r="H19" s="91"/>
      <c r="I19" s="93"/>
      <c r="J19" s="93"/>
      <c r="K19" s="93"/>
      <c r="L19" s="93"/>
      <c r="M19" s="93"/>
      <c r="N19" s="117"/>
      <c r="O19" s="94"/>
      <c r="P19" s="93"/>
      <c r="Q19" s="114"/>
      <c r="R19" s="118"/>
    </row>
    <row r="20" s="1" customFormat="true" ht="45" hidden="false" customHeight="true" outlineLevel="0" collapsed="false">
      <c r="B20" s="27"/>
      <c r="C20" s="27"/>
      <c r="D20" s="119"/>
      <c r="E20" s="120"/>
      <c r="F20" s="121"/>
      <c r="G20" s="101"/>
      <c r="H20" s="101"/>
      <c r="I20" s="102"/>
      <c r="J20" s="102"/>
      <c r="K20" s="102"/>
      <c r="L20" s="102"/>
      <c r="M20" s="102"/>
      <c r="N20" s="101"/>
      <c r="O20" s="122"/>
      <c r="P20" s="102"/>
      <c r="Q20" s="102"/>
      <c r="R20" s="101"/>
    </row>
    <row r="21" s="1" customFormat="true" ht="45" hidden="false" customHeight="true" outlineLevel="0" collapsed="false">
      <c r="B21" s="103" t="s">
        <v>38</v>
      </c>
      <c r="C21" s="103"/>
      <c r="D21" s="119"/>
      <c r="E21" s="120"/>
      <c r="F21" s="121"/>
      <c r="G21" s="101"/>
      <c r="H21" s="101"/>
      <c r="I21" s="102"/>
      <c r="J21" s="102"/>
      <c r="K21" s="102"/>
      <c r="L21" s="102"/>
      <c r="M21" s="102"/>
      <c r="N21" s="101"/>
      <c r="O21" s="122"/>
      <c r="P21" s="102"/>
      <c r="Q21" s="102"/>
      <c r="R21" s="101"/>
    </row>
    <row r="22" s="75" customFormat="true" ht="24" hidden="false" customHeight="true" outlineLevel="0" collapsed="false">
      <c r="B22" s="123"/>
      <c r="C22" s="124" t="str">
        <f aca="false">IF($C$14=0,"",$C$14)</f>
        <v/>
      </c>
      <c r="D22" s="125"/>
      <c r="E22" s="108"/>
      <c r="F22" s="109"/>
      <c r="G22" s="110"/>
      <c r="H22" s="82"/>
      <c r="I22" s="111"/>
      <c r="J22" s="126"/>
      <c r="K22" s="83"/>
      <c r="L22" s="83"/>
      <c r="M22" s="83"/>
      <c r="N22" s="84"/>
      <c r="O22" s="84"/>
      <c r="P22" s="83"/>
      <c r="Q22" s="83"/>
      <c r="R22" s="127"/>
    </row>
    <row r="23" s="1" customFormat="true" ht="42" hidden="false" customHeight="false" outlineLevel="0" collapsed="false">
      <c r="B23" s="0"/>
      <c r="C23" s="112"/>
      <c r="D23" s="128"/>
      <c r="E23" s="114"/>
      <c r="F23" s="115"/>
      <c r="G23" s="116"/>
      <c r="H23" s="91" t="s">
        <v>39</v>
      </c>
      <c r="I23" s="93" t="s">
        <v>40</v>
      </c>
      <c r="J23" s="92" t="s">
        <v>41</v>
      </c>
      <c r="K23" s="93"/>
      <c r="L23" s="93"/>
      <c r="M23" s="93"/>
      <c r="N23" s="129"/>
      <c r="O23" s="94"/>
      <c r="P23" s="130"/>
      <c r="Q23" s="114"/>
      <c r="R23" s="131"/>
    </row>
    <row r="24" s="1" customFormat="true" ht="21" hidden="false" customHeight="false" outlineLevel="0" collapsed="false">
      <c r="B24" s="27"/>
      <c r="C24" s="27"/>
      <c r="D24" s="132"/>
      <c r="E24" s="120"/>
      <c r="F24" s="121"/>
      <c r="G24" s="133"/>
      <c r="H24" s="101"/>
      <c r="I24" s="102"/>
      <c r="J24" s="102"/>
      <c r="K24" s="102"/>
      <c r="L24" s="102"/>
      <c r="M24" s="102"/>
      <c r="N24" s="101"/>
      <c r="O24" s="102"/>
      <c r="P24" s="102"/>
      <c r="Q24" s="102"/>
      <c r="R24" s="101"/>
    </row>
    <row r="25" s="1" customFormat="true" ht="25.5" hidden="false" customHeight="true" outlineLevel="0" collapsed="false">
      <c r="B25" s="103" t="s">
        <v>42</v>
      </c>
      <c r="C25" s="103"/>
      <c r="D25" s="132"/>
      <c r="E25" s="120"/>
      <c r="F25" s="121"/>
      <c r="G25" s="133"/>
      <c r="H25" s="101"/>
      <c r="I25" s="102"/>
      <c r="J25" s="102"/>
      <c r="K25" s="102"/>
      <c r="L25" s="102"/>
      <c r="M25" s="102"/>
      <c r="N25" s="101"/>
      <c r="O25" s="102"/>
      <c r="P25" s="102"/>
      <c r="Q25" s="102"/>
      <c r="R25" s="101"/>
    </row>
    <row r="26" s="104" customFormat="true" ht="24" hidden="false" customHeight="true" outlineLevel="0" collapsed="false">
      <c r="B26" s="134"/>
      <c r="C26" s="124" t="str">
        <f aca="false">IF($C$14=0,"",$C$14)</f>
        <v/>
      </c>
      <c r="D26" s="125"/>
      <c r="E26" s="108"/>
      <c r="F26" s="109"/>
      <c r="G26" s="110"/>
      <c r="H26" s="82"/>
      <c r="I26" s="111"/>
      <c r="J26" s="83"/>
      <c r="K26" s="83"/>
      <c r="L26" s="111"/>
      <c r="M26" s="83"/>
      <c r="N26" s="84"/>
      <c r="O26" s="84"/>
      <c r="P26" s="83"/>
      <c r="Q26" s="83"/>
      <c r="R26" s="85"/>
    </row>
    <row r="27" s="1" customFormat="true" ht="41.25" hidden="false" customHeight="true" outlineLevel="0" collapsed="false">
      <c r="B27" s="0"/>
      <c r="C27" s="112"/>
      <c r="D27" s="128"/>
      <c r="E27" s="114"/>
      <c r="F27" s="115"/>
      <c r="G27" s="116"/>
      <c r="H27" s="0"/>
      <c r="I27" s="93" t="s">
        <v>40</v>
      </c>
      <c r="J27" s="92" t="s">
        <v>41</v>
      </c>
      <c r="K27" s="93"/>
      <c r="L27" s="93"/>
      <c r="M27" s="93"/>
      <c r="N27" s="117"/>
      <c r="O27" s="94"/>
      <c r="P27" s="93"/>
      <c r="Q27" s="114"/>
      <c r="R27" s="131"/>
    </row>
    <row r="28" s="1" customFormat="true" ht="45" hidden="false" customHeight="true" outlineLevel="0" collapsed="false">
      <c r="B28" s="27"/>
      <c r="C28" s="27"/>
      <c r="D28" s="119"/>
      <c r="E28" s="120"/>
      <c r="F28" s="121"/>
      <c r="G28" s="135"/>
      <c r="H28" s="136"/>
      <c r="I28" s="137"/>
      <c r="J28" s="88"/>
      <c r="K28" s="88"/>
      <c r="L28" s="137"/>
      <c r="M28" s="137"/>
      <c r="N28" s="88"/>
      <c r="O28" s="136"/>
      <c r="P28" s="137"/>
      <c r="Q28" s="120"/>
      <c r="R28" s="138"/>
    </row>
    <row r="29" s="1" customFormat="true" ht="45" hidden="false" customHeight="true" outlineLevel="0" collapsed="false">
      <c r="B29" s="103" t="s">
        <v>43</v>
      </c>
      <c r="C29" s="103"/>
      <c r="D29" s="119"/>
      <c r="E29" s="120"/>
      <c r="F29" s="121"/>
      <c r="G29" s="135"/>
      <c r="H29" s="136"/>
      <c r="I29" s="137"/>
      <c r="J29" s="88"/>
      <c r="K29" s="88"/>
      <c r="L29" s="137"/>
      <c r="M29" s="137"/>
      <c r="N29" s="88"/>
      <c r="O29" s="136"/>
      <c r="P29" s="137"/>
      <c r="Q29" s="120"/>
      <c r="R29" s="138"/>
    </row>
    <row r="30" s="104" customFormat="true" ht="24" hidden="false" customHeight="true" outlineLevel="0" collapsed="false">
      <c r="B30" s="123"/>
      <c r="C30" s="124" t="str">
        <f aca="false">IF($C$14=0,"",$C$14)</f>
        <v/>
      </c>
      <c r="D30" s="125"/>
      <c r="E30" s="108"/>
      <c r="F30" s="109"/>
      <c r="G30" s="110"/>
      <c r="H30" s="82"/>
      <c r="I30" s="111"/>
      <c r="J30" s="83"/>
      <c r="K30" s="83"/>
      <c r="L30" s="111"/>
      <c r="M30" s="83"/>
      <c r="N30" s="84"/>
      <c r="O30" s="139"/>
      <c r="P30" s="83"/>
      <c r="Q30" s="83"/>
      <c r="R30" s="85"/>
    </row>
    <row r="31" s="1" customFormat="true" ht="42" hidden="false" customHeight="false" outlineLevel="0" collapsed="false">
      <c r="B31" s="0"/>
      <c r="C31" s="112"/>
      <c r="D31" s="128"/>
      <c r="E31" s="114"/>
      <c r="F31" s="115"/>
      <c r="G31" s="140"/>
      <c r="H31" s="0"/>
      <c r="I31" s="93" t="s">
        <v>40</v>
      </c>
      <c r="J31" s="92" t="s">
        <v>41</v>
      </c>
      <c r="K31" s="93"/>
      <c r="L31" s="93"/>
      <c r="M31" s="93"/>
      <c r="N31" s="117"/>
      <c r="O31" s="129"/>
      <c r="P31" s="93"/>
      <c r="Q31" s="114"/>
      <c r="R31" s="131"/>
    </row>
    <row r="32" customFormat="false" ht="24" hidden="false" customHeight="true" outlineLevel="0" collapsed="false">
      <c r="B32" s="141"/>
      <c r="C32" s="141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</row>
    <row r="33" customFormat="false" ht="24" hidden="false" customHeight="true" outlineLevel="0" collapsed="false">
      <c r="A33" s="141"/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141"/>
    </row>
    <row r="34" customFormat="false" ht="13.8" hidden="false" customHeight="false" outlineLevel="0" collapsed="false">
      <c r="A34" s="141"/>
      <c r="B34" s="141"/>
      <c r="C34" s="141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41"/>
      <c r="S34" s="141"/>
    </row>
    <row r="35" customFormat="false" ht="13.8" hidden="false" customHeight="false" outlineLevel="0" collapsed="false">
      <c r="A35" s="141"/>
      <c r="B35" s="141"/>
      <c r="C35" s="141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1"/>
      <c r="S35" s="141"/>
    </row>
    <row r="36" customFormat="false" ht="13.8" hidden="false" customHeight="false" outlineLevel="0" collapsed="false">
      <c r="A36" s="141"/>
      <c r="B36" s="141"/>
      <c r="C36" s="141"/>
      <c r="D36" s="141"/>
      <c r="E36" s="141"/>
      <c r="F36" s="141"/>
      <c r="G36" s="141"/>
      <c r="H36" s="141"/>
      <c r="I36" s="141"/>
      <c r="J36" s="141"/>
      <c r="K36" s="141"/>
      <c r="L36" s="141"/>
      <c r="M36" s="141"/>
      <c r="N36" s="141"/>
      <c r="O36" s="141"/>
      <c r="P36" s="141"/>
      <c r="Q36" s="141"/>
      <c r="R36" s="141"/>
      <c r="S36" s="141"/>
    </row>
    <row r="37" customFormat="false" ht="13.8" hidden="false" customHeight="false" outlineLevel="0" collapsed="false">
      <c r="A37" s="141"/>
      <c r="B37" s="141"/>
      <c r="C37" s="141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</row>
    <row r="38" customFormat="false" ht="13.8" hidden="false" customHeight="false" outlineLevel="0" collapsed="false">
      <c r="A38" s="141"/>
      <c r="B38" s="141"/>
      <c r="C38" s="141"/>
      <c r="D38" s="141"/>
      <c r="E38" s="141"/>
      <c r="F38" s="141"/>
      <c r="G38" s="141"/>
      <c r="H38" s="141"/>
      <c r="I38" s="141"/>
      <c r="J38" s="141"/>
      <c r="K38" s="141"/>
      <c r="L38" s="141"/>
      <c r="M38" s="141"/>
      <c r="N38" s="141"/>
      <c r="O38" s="141"/>
      <c r="P38" s="141"/>
      <c r="Q38" s="141"/>
      <c r="R38" s="141"/>
      <c r="S38" s="141"/>
    </row>
    <row r="39" customFormat="false" ht="13.8" hidden="false" customHeight="false" outlineLevel="0" collapsed="false">
      <c r="A39" s="141"/>
      <c r="B39" s="141"/>
      <c r="C39" s="141"/>
      <c r="D39" s="141"/>
      <c r="E39" s="141"/>
      <c r="F39" s="141"/>
      <c r="G39" s="141"/>
      <c r="H39" s="141"/>
      <c r="I39" s="141"/>
      <c r="J39" s="141"/>
      <c r="K39" s="141"/>
      <c r="L39" s="141"/>
      <c r="M39" s="141"/>
      <c r="N39" s="141"/>
      <c r="O39" s="141"/>
      <c r="P39" s="141"/>
      <c r="Q39" s="141"/>
      <c r="R39" s="141"/>
      <c r="S39" s="141"/>
    </row>
    <row r="40" customFormat="false" ht="13.8" hidden="false" customHeight="false" outlineLevel="0" collapsed="false">
      <c r="A40" s="141"/>
      <c r="B40" s="141"/>
      <c r="C40" s="141"/>
      <c r="D40" s="141"/>
      <c r="E40" s="141"/>
      <c r="F40" s="141"/>
      <c r="G40" s="141"/>
      <c r="H40" s="141"/>
      <c r="I40" s="141"/>
      <c r="J40" s="141"/>
      <c r="K40" s="141"/>
      <c r="L40" s="141"/>
      <c r="M40" s="141"/>
      <c r="N40" s="141"/>
      <c r="O40" s="141"/>
      <c r="P40" s="141"/>
      <c r="Q40" s="141"/>
      <c r="R40" s="141"/>
      <c r="S40" s="141"/>
    </row>
    <row r="41" customFormat="false" ht="13.8" hidden="false" customHeight="false" outlineLevel="0" collapsed="false">
      <c r="A41" s="141"/>
      <c r="B41" s="141"/>
      <c r="C41" s="141"/>
      <c r="D41" s="141"/>
      <c r="E41" s="141"/>
      <c r="F41" s="141"/>
      <c r="G41" s="141"/>
      <c r="H41" s="141"/>
      <c r="I41" s="141"/>
      <c r="J41" s="141"/>
      <c r="K41" s="141"/>
      <c r="L41" s="141"/>
      <c r="M41" s="141"/>
      <c r="N41" s="141"/>
      <c r="O41" s="141"/>
      <c r="P41" s="141"/>
      <c r="Q41" s="141"/>
      <c r="R41" s="141"/>
      <c r="S41" s="141"/>
    </row>
    <row r="42" customFormat="false" ht="13.8" hidden="false" customHeight="false" outlineLevel="0" collapsed="false">
      <c r="A42" s="141"/>
      <c r="B42" s="141"/>
      <c r="C42" s="141"/>
      <c r="D42" s="141"/>
      <c r="E42" s="141"/>
      <c r="F42" s="141"/>
      <c r="G42" s="141"/>
      <c r="H42" s="141"/>
      <c r="I42" s="141"/>
      <c r="J42" s="141"/>
      <c r="K42" s="141"/>
      <c r="L42" s="141"/>
      <c r="M42" s="141"/>
      <c r="N42" s="141"/>
      <c r="O42" s="141"/>
      <c r="P42" s="141"/>
      <c r="Q42" s="141"/>
      <c r="R42" s="141"/>
      <c r="S42" s="141"/>
    </row>
    <row r="43" customFormat="false" ht="13.8" hidden="false" customHeight="false" outlineLevel="0" collapsed="false">
      <c r="A43" s="141"/>
      <c r="B43" s="141"/>
      <c r="C43" s="141"/>
      <c r="D43" s="141"/>
      <c r="E43" s="141"/>
      <c r="F43" s="141"/>
      <c r="G43" s="141"/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41"/>
      <c r="S43" s="141"/>
    </row>
    <row r="44" customFormat="false" ht="13.8" hidden="false" customHeight="false" outlineLevel="0" collapsed="false">
      <c r="A44" s="141"/>
      <c r="B44" s="141"/>
      <c r="C44" s="141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41"/>
      <c r="S44" s="141"/>
    </row>
    <row r="45" customFormat="false" ht="13.8" hidden="false" customHeight="false" outlineLevel="0" collapsed="false">
      <c r="A45" s="141"/>
      <c r="B45" s="141"/>
      <c r="C45" s="141"/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</row>
    <row r="46" customFormat="false" ht="13.8" hidden="false" customHeight="false" outlineLevel="0" collapsed="false">
      <c r="A46" s="141"/>
      <c r="B46" s="141"/>
      <c r="C46" s="141"/>
      <c r="D46" s="141"/>
      <c r="E46" s="141"/>
      <c r="F46" s="141"/>
      <c r="G46" s="141"/>
      <c r="H46" s="141"/>
      <c r="I46" s="141"/>
      <c r="J46" s="141"/>
      <c r="K46" s="141"/>
      <c r="L46" s="141"/>
      <c r="M46" s="141"/>
      <c r="N46" s="141"/>
      <c r="O46" s="141"/>
      <c r="P46" s="141"/>
      <c r="Q46" s="141"/>
      <c r="R46" s="141"/>
      <c r="S46" s="141"/>
    </row>
    <row r="47" customFormat="false" ht="13.8" hidden="false" customHeight="false" outlineLevel="0" collapsed="false">
      <c r="A47" s="141"/>
      <c r="B47" s="141"/>
      <c r="C47" s="141"/>
      <c r="D47" s="141"/>
      <c r="E47" s="141"/>
      <c r="F47" s="141"/>
      <c r="G47" s="141"/>
      <c r="H47" s="141"/>
      <c r="I47" s="141"/>
      <c r="J47" s="141"/>
      <c r="K47" s="141"/>
      <c r="L47" s="141"/>
      <c r="M47" s="141"/>
      <c r="N47" s="141"/>
      <c r="O47" s="141"/>
      <c r="P47" s="141"/>
      <c r="Q47" s="141"/>
      <c r="R47" s="141"/>
      <c r="S47" s="141"/>
    </row>
    <row r="48" customFormat="false" ht="13.8" hidden="false" customHeight="false" outlineLevel="0" collapsed="false">
      <c r="A48" s="141"/>
      <c r="B48" s="141"/>
      <c r="C48" s="141"/>
      <c r="D48" s="141"/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</row>
    <row r="49" customFormat="false" ht="13.8" hidden="false" customHeight="false" outlineLevel="0" collapsed="false">
      <c r="A49" s="141"/>
      <c r="B49" s="141"/>
      <c r="C49" s="141"/>
      <c r="D49" s="141"/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</row>
    <row r="50" customFormat="false" ht="13.8" hidden="false" customHeight="false" outlineLevel="0" collapsed="false">
      <c r="A50" s="141"/>
      <c r="B50" s="141"/>
      <c r="C50" s="141"/>
      <c r="D50" s="141"/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</row>
    <row r="51" customFormat="false" ht="13.8" hidden="false" customHeight="false" outlineLevel="0" collapsed="false">
      <c r="A51" s="141"/>
      <c r="B51" s="141"/>
      <c r="C51" s="141"/>
      <c r="D51" s="141"/>
      <c r="E51" s="141"/>
      <c r="F51" s="141"/>
      <c r="G51" s="141"/>
      <c r="H51" s="141"/>
      <c r="I51" s="141"/>
      <c r="J51" s="141"/>
      <c r="K51" s="141"/>
      <c r="L51" s="141"/>
      <c r="M51" s="141"/>
      <c r="N51" s="141"/>
      <c r="O51" s="141"/>
      <c r="P51" s="141"/>
      <c r="Q51" s="141"/>
      <c r="R51" s="141"/>
      <c r="S51" s="141"/>
    </row>
    <row r="52" customFormat="false" ht="13.8" hidden="false" customHeight="false" outlineLevel="0" collapsed="false">
      <c r="A52" s="141"/>
      <c r="B52" s="141"/>
      <c r="C52" s="141"/>
      <c r="D52" s="141"/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</row>
    <row r="53" customFormat="false" ht="13.8" hidden="false" customHeight="false" outlineLevel="0" collapsed="false">
      <c r="A53" s="141"/>
      <c r="B53" s="141"/>
      <c r="C53" s="141"/>
      <c r="D53" s="141"/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</row>
    <row r="54" customFormat="false" ht="13.8" hidden="false" customHeight="false" outlineLevel="0" collapsed="false">
      <c r="A54" s="141"/>
      <c r="B54" s="141"/>
      <c r="C54" s="141"/>
      <c r="D54" s="141"/>
      <c r="E54" s="141"/>
      <c r="F54" s="141"/>
      <c r="G54" s="141"/>
      <c r="H54" s="141"/>
      <c r="I54" s="141"/>
      <c r="J54" s="141"/>
      <c r="K54" s="141"/>
      <c r="L54" s="141"/>
      <c r="M54" s="141"/>
      <c r="N54" s="141"/>
      <c r="O54" s="141"/>
      <c r="P54" s="141"/>
      <c r="Q54" s="141"/>
      <c r="R54" s="141"/>
      <c r="S54" s="141"/>
    </row>
    <row r="55" customFormat="false" ht="13.8" hidden="false" customHeight="false" outlineLevel="0" collapsed="false">
      <c r="A55" s="141"/>
      <c r="B55" s="141"/>
      <c r="C55" s="141"/>
      <c r="D55" s="141"/>
      <c r="E55" s="141"/>
      <c r="F55" s="141"/>
      <c r="G55" s="141"/>
      <c r="H55" s="141"/>
      <c r="I55" s="141"/>
      <c r="J55" s="141"/>
      <c r="K55" s="141"/>
      <c r="L55" s="141"/>
      <c r="M55" s="141"/>
      <c r="N55" s="141"/>
      <c r="O55" s="141"/>
      <c r="P55" s="141"/>
      <c r="Q55" s="141"/>
      <c r="R55" s="141"/>
      <c r="S55" s="141"/>
    </row>
    <row r="56" customFormat="false" ht="13.8" hidden="false" customHeight="false" outlineLevel="0" collapsed="false">
      <c r="A56" s="141"/>
      <c r="B56" s="141"/>
      <c r="C56" s="141"/>
      <c r="D56" s="141"/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</row>
    <row r="57" customFormat="false" ht="13.8" hidden="false" customHeight="false" outlineLevel="0" collapsed="false">
      <c r="A57" s="141"/>
      <c r="B57" s="141"/>
      <c r="C57" s="141"/>
      <c r="D57" s="141"/>
      <c r="E57" s="141"/>
      <c r="F57" s="141"/>
      <c r="G57" s="141"/>
      <c r="H57" s="141"/>
      <c r="I57" s="141"/>
      <c r="J57" s="141"/>
      <c r="K57" s="141"/>
      <c r="L57" s="141"/>
      <c r="M57" s="141"/>
      <c r="N57" s="141"/>
      <c r="O57" s="141"/>
      <c r="P57" s="141"/>
      <c r="Q57" s="141"/>
      <c r="R57" s="141"/>
      <c r="S57" s="141"/>
    </row>
    <row r="58" customFormat="false" ht="13.8" hidden="false" customHeight="false" outlineLevel="0" collapsed="false">
      <c r="A58" s="141"/>
      <c r="B58" s="141"/>
      <c r="C58" s="141"/>
      <c r="D58" s="141"/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</row>
    <row r="59" customFormat="false" ht="13.8" hidden="false" customHeight="false" outlineLevel="0" collapsed="false">
      <c r="A59" s="141"/>
      <c r="B59" s="141"/>
      <c r="C59" s="141"/>
      <c r="D59" s="141"/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</row>
    <row r="60" customFormat="false" ht="13.8" hidden="false" customHeight="false" outlineLevel="0" collapsed="false">
      <c r="A60" s="141"/>
      <c r="B60" s="141"/>
      <c r="C60" s="141"/>
      <c r="D60" s="141"/>
      <c r="E60" s="141"/>
      <c r="F60" s="141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</row>
    <row r="61" customFormat="false" ht="13.8" hidden="false" customHeight="false" outlineLevel="0" collapsed="false">
      <c r="A61" s="141"/>
      <c r="B61" s="141"/>
      <c r="C61" s="141"/>
      <c r="D61" s="141"/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</row>
    <row r="62" customFormat="false" ht="13.8" hidden="false" customHeight="false" outlineLevel="0" collapsed="false">
      <c r="A62" s="141"/>
      <c r="B62" s="141"/>
      <c r="C62" s="141"/>
      <c r="D62" s="141"/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</row>
    <row r="63" customFormat="false" ht="13.8" hidden="false" customHeight="false" outlineLevel="0" collapsed="false">
      <c r="A63" s="141"/>
      <c r="B63" s="141"/>
      <c r="C63" s="141"/>
      <c r="D63" s="141"/>
      <c r="E63" s="141"/>
      <c r="F63" s="141"/>
      <c r="G63" s="141"/>
      <c r="H63" s="141"/>
      <c r="I63" s="141"/>
      <c r="J63" s="141"/>
      <c r="K63" s="141"/>
      <c r="L63" s="141"/>
      <c r="M63" s="141"/>
      <c r="N63" s="141"/>
      <c r="O63" s="141"/>
      <c r="P63" s="141"/>
      <c r="Q63" s="141"/>
      <c r="R63" s="141"/>
      <c r="S63" s="141"/>
    </row>
    <row r="64" customFormat="false" ht="17.35" hidden="false" customHeight="false" outlineLevel="0" collapsed="false">
      <c r="B64" s="141"/>
      <c r="C64" s="141"/>
      <c r="D64" s="141"/>
      <c r="E64" s="141"/>
      <c r="F64" s="141"/>
      <c r="G64" s="141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</row>
    <row r="65" customFormat="false" ht="17.35" hidden="false" customHeight="false" outlineLevel="0" collapsed="false">
      <c r="B65" s="141"/>
      <c r="C65" s="141"/>
      <c r="D65" s="141"/>
      <c r="E65" s="141"/>
      <c r="F65" s="141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</row>
    <row r="66" customFormat="false" ht="17.35" hidden="false" customHeight="false" outlineLevel="0" collapsed="false">
      <c r="B66" s="141"/>
      <c r="C66" s="141"/>
      <c r="D66" s="141"/>
      <c r="E66" s="141"/>
      <c r="F66" s="141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1"/>
    </row>
    <row r="67" customFormat="false" ht="17.35" hidden="false" customHeight="false" outlineLevel="0" collapsed="false">
      <c r="B67" s="141"/>
      <c r="C67" s="141"/>
      <c r="D67" s="141"/>
      <c r="E67" s="141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</row>
    <row r="68" customFormat="false" ht="17.35" hidden="false" customHeight="false" outlineLevel="0" collapsed="false">
      <c r="B68" s="141"/>
      <c r="C68" s="141"/>
      <c r="D68" s="141"/>
      <c r="E68" s="141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</row>
    <row r="69" customFormat="false" ht="17.35" hidden="false" customHeight="false" outlineLevel="0" collapsed="false">
      <c r="B69" s="141"/>
      <c r="C69" s="141"/>
      <c r="D69" s="141"/>
      <c r="E69" s="141"/>
      <c r="F69" s="141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</row>
    <row r="70" customFormat="false" ht="17.35" hidden="false" customHeight="false" outlineLevel="0" collapsed="false">
      <c r="B70" s="141"/>
      <c r="C70" s="141"/>
      <c r="D70" s="141"/>
      <c r="E70" s="141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</row>
    <row r="71" customFormat="false" ht="17.35" hidden="false" customHeight="false" outlineLevel="0" collapsed="false">
      <c r="B71" s="141"/>
      <c r="C71" s="141"/>
      <c r="D71" s="141"/>
      <c r="E71" s="141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</row>
    <row r="72" customFormat="false" ht="17.35" hidden="false" customHeight="false" outlineLevel="0" collapsed="false">
      <c r="B72" s="141"/>
      <c r="C72" s="141"/>
      <c r="D72" s="141"/>
      <c r="E72" s="141"/>
      <c r="F72" s="141"/>
      <c r="G72" s="141"/>
      <c r="H72" s="141"/>
      <c r="I72" s="141"/>
      <c r="J72" s="141"/>
      <c r="K72" s="141"/>
      <c r="L72" s="141"/>
      <c r="M72" s="141"/>
      <c r="N72" s="141"/>
      <c r="O72" s="141"/>
      <c r="P72" s="141"/>
      <c r="Q72" s="141"/>
      <c r="R72" s="141"/>
      <c r="S72" s="141"/>
    </row>
    <row r="73" customFormat="false" ht="17.35" hidden="false" customHeight="false" outlineLevel="0" collapsed="false">
      <c r="B73" s="141"/>
      <c r="C73" s="141"/>
      <c r="D73" s="141"/>
      <c r="E73" s="141"/>
      <c r="F73" s="141"/>
      <c r="G73" s="141"/>
      <c r="H73" s="141"/>
      <c r="I73" s="141"/>
      <c r="J73" s="141"/>
      <c r="K73" s="141"/>
      <c r="L73" s="141"/>
      <c r="M73" s="141"/>
      <c r="N73" s="141"/>
      <c r="O73" s="141"/>
      <c r="P73" s="141"/>
      <c r="Q73" s="141"/>
      <c r="R73" s="141"/>
      <c r="S73" s="141"/>
    </row>
    <row r="74" customFormat="false" ht="17.35" hidden="false" customHeight="false" outlineLevel="0" collapsed="false">
      <c r="B74" s="141"/>
      <c r="C74" s="141"/>
      <c r="D74" s="141"/>
      <c r="E74" s="141"/>
      <c r="F74" s="141"/>
      <c r="G74" s="141"/>
      <c r="H74" s="141"/>
      <c r="I74" s="141"/>
      <c r="J74" s="141"/>
      <c r="K74" s="141"/>
      <c r="L74" s="141"/>
      <c r="M74" s="141"/>
      <c r="N74" s="141"/>
      <c r="O74" s="141"/>
      <c r="P74" s="141"/>
      <c r="Q74" s="141"/>
      <c r="R74" s="141"/>
      <c r="S74" s="141"/>
    </row>
    <row r="75" customFormat="false" ht="17.35" hidden="false" customHeight="false" outlineLevel="0" collapsed="false">
      <c r="B75" s="141"/>
      <c r="C75" s="141"/>
      <c r="D75" s="141"/>
      <c r="E75" s="141"/>
      <c r="F75" s="141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141"/>
      <c r="S75" s="141"/>
    </row>
    <row r="76" customFormat="false" ht="17.35" hidden="false" customHeight="false" outlineLevel="0" collapsed="false">
      <c r="B76" s="141"/>
      <c r="C76" s="141"/>
      <c r="D76" s="141"/>
      <c r="E76" s="141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</row>
    <row r="77" customFormat="false" ht="17.35" hidden="false" customHeight="false" outlineLevel="0" collapsed="false">
      <c r="B77" s="141"/>
      <c r="C77" s="141"/>
      <c r="D77" s="141"/>
      <c r="E77" s="141"/>
      <c r="F77" s="141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141"/>
      <c r="S77" s="141"/>
    </row>
    <row r="78" customFormat="false" ht="17.35" hidden="false" customHeight="false" outlineLevel="0" collapsed="false">
      <c r="B78" s="141"/>
      <c r="C78" s="141"/>
      <c r="D78" s="141"/>
      <c r="E78" s="141"/>
      <c r="F78" s="141"/>
      <c r="G78" s="141"/>
      <c r="H78" s="141"/>
      <c r="I78" s="141"/>
      <c r="J78" s="141"/>
      <c r="K78" s="141"/>
      <c r="L78" s="141"/>
      <c r="M78" s="141"/>
      <c r="N78" s="141"/>
      <c r="O78" s="141"/>
      <c r="P78" s="141"/>
      <c r="Q78" s="141"/>
      <c r="R78" s="141"/>
      <c r="S78" s="141"/>
    </row>
    <row r="79" customFormat="false" ht="17.35" hidden="false" customHeight="false" outlineLevel="0" collapsed="false"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</row>
    <row r="80" customFormat="false" ht="17.35" hidden="false" customHeight="false" outlineLevel="0" collapsed="false"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</row>
    <row r="81" customFormat="false" ht="17.35" hidden="false" customHeight="false" outlineLevel="0" collapsed="false"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</row>
    <row r="82" customFormat="false" ht="17.35" hidden="false" customHeight="false" outlineLevel="0" collapsed="false"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</row>
    <row r="83" customFormat="false" ht="17.35" hidden="false" customHeight="false" outlineLevel="0" collapsed="false"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</row>
    <row r="84" customFormat="false" ht="17.35" hidden="false" customHeight="false" outlineLevel="0" collapsed="false"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</row>
    <row r="85" customFormat="false" ht="17.35" hidden="false" customHeight="false" outlineLevel="0" collapsed="false"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</row>
    <row r="86" customFormat="false" ht="17.35" hidden="false" customHeight="false" outlineLevel="0" collapsed="false"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</row>
    <row r="87" customFormat="false" ht="17.35" hidden="false" customHeight="false" outlineLevel="0" collapsed="false"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</row>
    <row r="88" customFormat="false" ht="17.35" hidden="false" customHeight="false" outlineLevel="0" collapsed="false"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</row>
    <row r="89" customFormat="false" ht="17.35" hidden="false" customHeight="false" outlineLevel="0" collapsed="false"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</row>
    <row r="90" customFormat="false" ht="17.35" hidden="false" customHeight="false" outlineLevel="0" collapsed="false"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</row>
    <row r="91" customFormat="false" ht="17.35" hidden="false" customHeight="false" outlineLevel="0" collapsed="false"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</row>
    <row r="92" customFormat="false" ht="17.35" hidden="false" customHeight="false" outlineLevel="0" collapsed="false"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</row>
    <row r="93" customFormat="false" ht="17.35" hidden="false" customHeight="false" outlineLevel="0" collapsed="false"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</row>
    <row r="94" customFormat="false" ht="17.35" hidden="false" customHeight="false" outlineLevel="0" collapsed="false"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</row>
    <row r="95" customFormat="false" ht="17.35" hidden="false" customHeight="false" outlineLevel="0" collapsed="false"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</row>
    <row r="96" customFormat="false" ht="17.35" hidden="false" customHeight="false" outlineLevel="0" collapsed="false"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</row>
    <row r="97" customFormat="false" ht="17.35" hidden="false" customHeight="false" outlineLevel="0" collapsed="false"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</row>
    <row r="98" customFormat="false" ht="17.35" hidden="false" customHeight="false" outlineLevel="0" collapsed="false"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</row>
    <row r="99" customFormat="false" ht="17.35" hidden="false" customHeight="false" outlineLevel="0" collapsed="false"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</row>
    <row r="100" customFormat="false" ht="17.35" hidden="false" customHeight="false" outlineLevel="0" collapsed="false"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</row>
    <row r="101" customFormat="false" ht="17.35" hidden="false" customHeight="false" outlineLevel="0" collapsed="false"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</row>
    <row r="102" customFormat="false" ht="17.35" hidden="false" customHeight="false" outlineLevel="0" collapsed="false"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</row>
    <row r="103" customFormat="false" ht="17.35" hidden="false" customHeight="false" outlineLevel="0" collapsed="false"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</row>
    <row r="104" customFormat="false" ht="17.35" hidden="false" customHeight="false" outlineLevel="0" collapsed="false"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</row>
    <row r="105" customFormat="false" ht="17.35" hidden="false" customHeight="false" outlineLevel="0" collapsed="false"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</row>
    <row r="106" customFormat="false" ht="17.35" hidden="false" customHeight="false" outlineLevel="0" collapsed="false"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</row>
    <row r="107" customFormat="false" ht="17.35" hidden="false" customHeight="false" outlineLevel="0" collapsed="false"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</row>
    <row r="108" customFormat="false" ht="17.35" hidden="false" customHeight="false" outlineLevel="0" collapsed="false"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</row>
    <row r="109" customFormat="false" ht="17.35" hidden="false" customHeight="false" outlineLevel="0" collapsed="false"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</row>
    <row r="110" customFormat="false" ht="17.35" hidden="false" customHeight="false" outlineLevel="0" collapsed="false"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</row>
    <row r="111" customFormat="false" ht="17.35" hidden="false" customHeight="false" outlineLevel="0" collapsed="false"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</row>
    <row r="112" customFormat="false" ht="17.35" hidden="false" customHeight="false" outlineLevel="0" collapsed="false"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</row>
    <row r="113" customFormat="false" ht="17.35" hidden="false" customHeight="false" outlineLevel="0" collapsed="false"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</row>
    <row r="114" customFormat="false" ht="17.35" hidden="false" customHeight="false" outlineLevel="0" collapsed="false"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</row>
    <row r="115" customFormat="false" ht="17.35" hidden="false" customHeight="false" outlineLevel="0" collapsed="false"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</row>
    <row r="116" customFormat="false" ht="17.35" hidden="false" customHeight="false" outlineLevel="0" collapsed="false"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</row>
    <row r="117" customFormat="false" ht="17.35" hidden="false" customHeight="false" outlineLevel="0" collapsed="false"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</row>
    <row r="118" customFormat="false" ht="17.35" hidden="false" customHeight="false" outlineLevel="0" collapsed="false"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</row>
    <row r="119" customFormat="false" ht="17.35" hidden="false" customHeight="false" outlineLevel="0" collapsed="false"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</row>
    <row r="120" customFormat="false" ht="17.35" hidden="false" customHeight="false" outlineLevel="0" collapsed="false"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</row>
    <row r="121" customFormat="false" ht="17.35" hidden="false" customHeight="false" outlineLevel="0" collapsed="false"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</row>
    <row r="122" customFormat="false" ht="17.35" hidden="false" customHeight="false" outlineLevel="0" collapsed="false"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</row>
    <row r="123" customFormat="false" ht="17.35" hidden="false" customHeight="false" outlineLevel="0" collapsed="false"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</row>
    <row r="124" customFormat="false" ht="17.35" hidden="false" customHeight="false" outlineLevel="0" collapsed="false"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</row>
    <row r="125" customFormat="false" ht="17.35" hidden="false" customHeight="false" outlineLevel="0" collapsed="false"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</row>
    <row r="126" customFormat="false" ht="17.35" hidden="false" customHeight="false" outlineLevel="0" collapsed="false"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</row>
    <row r="127" customFormat="false" ht="17.35" hidden="false" customHeight="false" outlineLevel="0" collapsed="false"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</row>
    <row r="128" customFormat="false" ht="17.35" hidden="false" customHeight="false" outlineLevel="0" collapsed="false"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</row>
    <row r="129" customFormat="false" ht="17.35" hidden="false" customHeight="false" outlineLevel="0" collapsed="false"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</row>
    <row r="130" customFormat="false" ht="17.35" hidden="false" customHeight="false" outlineLevel="0" collapsed="false"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</row>
    <row r="131" customFormat="false" ht="17.35" hidden="false" customHeight="false" outlineLevel="0" collapsed="false"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</row>
    <row r="132" customFormat="false" ht="17.35" hidden="false" customHeight="false" outlineLevel="0" collapsed="false"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</row>
    <row r="133" customFormat="false" ht="17.35" hidden="false" customHeight="false" outlineLevel="0" collapsed="false"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</row>
    <row r="134" customFormat="false" ht="17.35" hidden="false" customHeight="false" outlineLevel="0" collapsed="false"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</row>
    <row r="135" customFormat="false" ht="17.35" hidden="false" customHeight="false" outlineLevel="0" collapsed="false"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</row>
    <row r="136" customFormat="false" ht="17.35" hidden="false" customHeight="false" outlineLevel="0" collapsed="false"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</row>
    <row r="137" customFormat="false" ht="17.35" hidden="false" customHeight="false" outlineLevel="0" collapsed="false"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</row>
    <row r="138" customFormat="false" ht="17.35" hidden="false" customHeight="false" outlineLevel="0" collapsed="false"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</row>
    <row r="139" customFormat="false" ht="17.35" hidden="false" customHeight="false" outlineLevel="0" collapsed="false"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</row>
    <row r="140" customFormat="false" ht="17.35" hidden="false" customHeight="false" outlineLevel="0" collapsed="false"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</row>
    <row r="141" customFormat="false" ht="17.35" hidden="false" customHeight="false" outlineLevel="0" collapsed="false"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</row>
    <row r="142" customFormat="false" ht="17.35" hidden="false" customHeight="false" outlineLevel="0" collapsed="false"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</row>
    <row r="143" customFormat="false" ht="17.35" hidden="false" customHeight="false" outlineLevel="0" collapsed="false"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</row>
    <row r="144" customFormat="false" ht="17.35" hidden="false" customHeight="false" outlineLevel="0" collapsed="false"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</row>
    <row r="145" customFormat="false" ht="17.35" hidden="false" customHeight="false" outlineLevel="0" collapsed="false"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</row>
    <row r="146" customFormat="false" ht="17.35" hidden="false" customHeight="false" outlineLevel="0" collapsed="false"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</row>
    <row r="147" customFormat="false" ht="17.35" hidden="false" customHeight="false" outlineLevel="0" collapsed="false"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</row>
    <row r="148" customFormat="false" ht="17.35" hidden="false" customHeight="false" outlineLevel="0" collapsed="false"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</row>
    <row r="149" customFormat="false" ht="17.35" hidden="false" customHeight="false" outlineLevel="0" collapsed="false"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</row>
    <row r="150" customFormat="false" ht="17.35" hidden="false" customHeight="false" outlineLevel="0" collapsed="false"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</row>
    <row r="151" customFormat="false" ht="17.35" hidden="false" customHeight="false" outlineLevel="0" collapsed="false"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</row>
    <row r="152" customFormat="false" ht="17.35" hidden="false" customHeight="false" outlineLevel="0" collapsed="false"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</row>
    <row r="153" customFormat="false" ht="17.35" hidden="false" customHeight="false" outlineLevel="0" collapsed="false"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</row>
    <row r="154" customFormat="false" ht="17.35" hidden="false" customHeight="false" outlineLevel="0" collapsed="false"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</row>
    <row r="155" customFormat="false" ht="17.35" hidden="false" customHeight="false" outlineLevel="0" collapsed="false"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</row>
    <row r="156" customFormat="false" ht="17.35" hidden="false" customHeight="false" outlineLevel="0" collapsed="false"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</row>
    <row r="157" customFormat="false" ht="17.35" hidden="false" customHeight="false" outlineLevel="0" collapsed="false"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</row>
    <row r="158" customFormat="false" ht="17.35" hidden="false" customHeight="false" outlineLevel="0" collapsed="false"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</row>
    <row r="159" customFormat="false" ht="17.35" hidden="false" customHeight="false" outlineLevel="0" collapsed="false"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</row>
    <row r="160" customFormat="false" ht="17.35" hidden="false" customHeight="false" outlineLevel="0" collapsed="false"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</row>
    <row r="161" customFormat="false" ht="17.35" hidden="false" customHeight="false" outlineLevel="0" collapsed="false"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</row>
    <row r="162" customFormat="false" ht="17.35" hidden="false" customHeight="false" outlineLevel="0" collapsed="false"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</row>
    <row r="163" customFormat="false" ht="17.35" hidden="false" customHeight="false" outlineLevel="0" collapsed="false"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</row>
    <row r="164" customFormat="false" ht="17.35" hidden="false" customHeight="false" outlineLevel="0" collapsed="false"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</row>
    <row r="165" customFormat="false" ht="17.35" hidden="false" customHeight="false" outlineLevel="0" collapsed="false"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</row>
    <row r="166" customFormat="false" ht="17.35" hidden="false" customHeight="false" outlineLevel="0" collapsed="false"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</row>
    <row r="167" customFormat="false" ht="17.35" hidden="false" customHeight="false" outlineLevel="0" collapsed="false"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</row>
    <row r="168" customFormat="false" ht="17.35" hidden="false" customHeight="false" outlineLevel="0" collapsed="false"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</row>
    <row r="169" customFormat="false" ht="17.35" hidden="false" customHeight="false" outlineLevel="0" collapsed="false"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</row>
    <row r="170" customFormat="false" ht="17.35" hidden="false" customHeight="false" outlineLevel="0" collapsed="false"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</row>
    <row r="171" customFormat="false" ht="17.35" hidden="false" customHeight="false" outlineLevel="0" collapsed="false"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</row>
    <row r="172" customFormat="false" ht="17.35" hidden="false" customHeight="false" outlineLevel="0" collapsed="false"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</row>
    <row r="173" customFormat="false" ht="17.35" hidden="false" customHeight="false" outlineLevel="0" collapsed="false"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</row>
    <row r="174" customFormat="false" ht="17.35" hidden="false" customHeight="false" outlineLevel="0" collapsed="false"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</row>
    <row r="175" customFormat="false" ht="17.35" hidden="false" customHeight="false" outlineLevel="0" collapsed="false"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</row>
    <row r="176" customFormat="false" ht="17.35" hidden="false" customHeight="false" outlineLevel="0" collapsed="false"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</row>
    <row r="177" customFormat="false" ht="17.35" hidden="false" customHeight="false" outlineLevel="0" collapsed="false"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</row>
    <row r="178" customFormat="false" ht="17.35" hidden="false" customHeight="false" outlineLevel="0" collapsed="false"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</row>
    <row r="179" customFormat="false" ht="17.35" hidden="false" customHeight="false" outlineLevel="0" collapsed="false"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</row>
    <row r="180" customFormat="false" ht="17.35" hidden="false" customHeight="false" outlineLevel="0" collapsed="false"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</row>
    <row r="181" customFormat="false" ht="17.35" hidden="false" customHeight="false" outlineLevel="0" collapsed="false"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</row>
    <row r="182" customFormat="false" ht="17.35" hidden="false" customHeight="false" outlineLevel="0" collapsed="false"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</row>
    <row r="183" customFormat="false" ht="17.35" hidden="false" customHeight="false" outlineLevel="0" collapsed="false"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</row>
    <row r="184" customFormat="false" ht="17.35" hidden="false" customHeight="false" outlineLevel="0" collapsed="false"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</row>
    <row r="185" customFormat="false" ht="17.35" hidden="false" customHeight="false" outlineLevel="0" collapsed="false"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</row>
    <row r="186" customFormat="false" ht="17.35" hidden="false" customHeight="false" outlineLevel="0" collapsed="false"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</row>
    <row r="187" customFormat="false" ht="17.35" hidden="false" customHeight="false" outlineLevel="0" collapsed="false"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</row>
    <row r="188" customFormat="false" ht="17.35" hidden="false" customHeight="false" outlineLevel="0" collapsed="false"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</row>
    <row r="189" customFormat="false" ht="17.35" hidden="false" customHeight="false" outlineLevel="0" collapsed="false"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</row>
    <row r="190" customFormat="false" ht="17.35" hidden="false" customHeight="false" outlineLevel="0" collapsed="false"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</row>
    <row r="191" customFormat="false" ht="17.35" hidden="false" customHeight="false" outlineLevel="0" collapsed="false"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</row>
    <row r="192" customFormat="false" ht="17.35" hidden="false" customHeight="false" outlineLevel="0" collapsed="false"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</row>
    <row r="193" customFormat="false" ht="17.35" hidden="false" customHeight="false" outlineLevel="0" collapsed="false"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</row>
    <row r="194" customFormat="false" ht="17.35" hidden="false" customHeight="false" outlineLevel="0" collapsed="false"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</row>
    <row r="195" customFormat="false" ht="17.35" hidden="false" customHeight="false" outlineLevel="0" collapsed="false"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</row>
    <row r="196" customFormat="false" ht="17.35" hidden="false" customHeight="false" outlineLevel="0" collapsed="false"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</row>
    <row r="197" customFormat="false" ht="17.35" hidden="false" customHeight="false" outlineLevel="0" collapsed="false"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</row>
    <row r="198" customFormat="false" ht="17.35" hidden="false" customHeight="false" outlineLevel="0" collapsed="false"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</row>
    <row r="199" customFormat="false" ht="17.35" hidden="false" customHeight="false" outlineLevel="0" collapsed="false"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</row>
    <row r="200" customFormat="false" ht="17.35" hidden="false" customHeight="false" outlineLevel="0" collapsed="false"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</row>
    <row r="201" customFormat="false" ht="17.35" hidden="false" customHeight="false" outlineLevel="0" collapsed="false"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</row>
    <row r="202" customFormat="false" ht="17.35" hidden="false" customHeight="false" outlineLevel="0" collapsed="false"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</row>
    <row r="203" customFormat="false" ht="17.35" hidden="false" customHeight="false" outlineLevel="0" collapsed="false"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</row>
    <row r="204" customFormat="false" ht="17.35" hidden="false" customHeight="false" outlineLevel="0" collapsed="false"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</row>
    <row r="205" customFormat="false" ht="17.35" hidden="false" customHeight="false" outlineLevel="0" collapsed="false"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</row>
    <row r="206" customFormat="false" ht="17.35" hidden="false" customHeight="false" outlineLevel="0" collapsed="false"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</row>
    <row r="207" customFormat="false" ht="17.35" hidden="false" customHeight="false" outlineLevel="0" collapsed="false"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</row>
    <row r="208" customFormat="false" ht="17.35" hidden="false" customHeight="false" outlineLevel="0" collapsed="false"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</row>
    <row r="209" customFormat="false" ht="17.35" hidden="false" customHeight="false" outlineLevel="0" collapsed="false"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</row>
    <row r="210" customFormat="false" ht="17.35" hidden="false" customHeight="false" outlineLevel="0" collapsed="false"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</row>
    <row r="211" customFormat="false" ht="17.35" hidden="false" customHeight="false" outlineLevel="0" collapsed="false"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</row>
    <row r="212" customFormat="false" ht="17.35" hidden="false" customHeight="false" outlineLevel="0" collapsed="false"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</row>
    <row r="213" customFormat="false" ht="17.35" hidden="false" customHeight="false" outlineLevel="0" collapsed="false"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</row>
    <row r="214" customFormat="false" ht="17.35" hidden="false" customHeight="false" outlineLevel="0" collapsed="false"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</row>
    <row r="215" customFormat="false" ht="17.35" hidden="false" customHeight="false" outlineLevel="0" collapsed="false"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</row>
    <row r="216" customFormat="false" ht="17.35" hidden="false" customHeight="false" outlineLevel="0" collapsed="false"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</row>
    <row r="217" customFormat="false" ht="17.35" hidden="false" customHeight="false" outlineLevel="0" collapsed="false"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</row>
    <row r="218" customFormat="false" ht="17.35" hidden="false" customHeight="false" outlineLevel="0" collapsed="false"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</row>
    <row r="219" customFormat="false" ht="17.35" hidden="false" customHeight="false" outlineLevel="0" collapsed="false"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</row>
    <row r="220" customFormat="false" ht="17.35" hidden="false" customHeight="false" outlineLevel="0" collapsed="false"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</row>
    <row r="221" customFormat="false" ht="17.35" hidden="false" customHeight="false" outlineLevel="0" collapsed="false"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</row>
    <row r="222" customFormat="false" ht="17.35" hidden="false" customHeight="false" outlineLevel="0" collapsed="false"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</row>
    <row r="223" customFormat="false" ht="17.35" hidden="false" customHeight="false" outlineLevel="0" collapsed="false"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</row>
    <row r="224" customFormat="false" ht="17.35" hidden="false" customHeight="false" outlineLevel="0" collapsed="false"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</row>
    <row r="225" customFormat="false" ht="17.35" hidden="false" customHeight="false" outlineLevel="0" collapsed="false"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</row>
    <row r="226" customFormat="false" ht="17.35" hidden="false" customHeight="false" outlineLevel="0" collapsed="false"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</row>
    <row r="227" customFormat="false" ht="17.35" hidden="false" customHeight="false" outlineLevel="0" collapsed="false"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</row>
    <row r="228" customFormat="false" ht="17.35" hidden="false" customHeight="false" outlineLevel="0" collapsed="false"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</row>
    <row r="229" customFormat="false" ht="17.35" hidden="false" customHeight="false" outlineLevel="0" collapsed="false"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</row>
    <row r="230" customFormat="false" ht="17.35" hidden="false" customHeight="false" outlineLevel="0" collapsed="false"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</row>
    <row r="231" customFormat="false" ht="17.35" hidden="false" customHeight="false" outlineLevel="0" collapsed="false"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</row>
    <row r="232" customFormat="false" ht="17.35" hidden="false" customHeight="false" outlineLevel="0" collapsed="false"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</row>
    <row r="233" customFormat="false" ht="17.35" hidden="false" customHeight="false" outlineLevel="0" collapsed="false"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</row>
    <row r="234" customFormat="false" ht="17.35" hidden="false" customHeight="false" outlineLevel="0" collapsed="false"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</row>
    <row r="235" customFormat="false" ht="17.35" hidden="false" customHeight="false" outlineLevel="0" collapsed="false"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</row>
    <row r="236" customFormat="false" ht="17.35" hidden="false" customHeight="false" outlineLevel="0" collapsed="false"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</row>
    <row r="237" customFormat="false" ht="17.35" hidden="false" customHeight="false" outlineLevel="0" collapsed="false"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</row>
    <row r="238" customFormat="false" ht="17.35" hidden="false" customHeight="false" outlineLevel="0" collapsed="false"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</row>
    <row r="239" customFormat="false" ht="17.35" hidden="false" customHeight="false" outlineLevel="0" collapsed="false"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</row>
    <row r="240" customFormat="false" ht="17.35" hidden="false" customHeight="false" outlineLevel="0" collapsed="false"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</row>
    <row r="241" customFormat="false" ht="17.35" hidden="false" customHeight="false" outlineLevel="0" collapsed="false"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</row>
    <row r="242" customFormat="false" ht="17.35" hidden="false" customHeight="false" outlineLevel="0" collapsed="false"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</row>
    <row r="243" customFormat="false" ht="17.35" hidden="false" customHeight="false" outlineLevel="0" collapsed="false"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</row>
    <row r="244" customFormat="false" ht="17.35" hidden="false" customHeight="false" outlineLevel="0" collapsed="false"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</row>
    <row r="245" customFormat="false" ht="17.35" hidden="false" customHeight="false" outlineLevel="0" collapsed="false"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</row>
    <row r="246" customFormat="false" ht="17.35" hidden="false" customHeight="false" outlineLevel="0" collapsed="false"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</row>
    <row r="247" customFormat="false" ht="17.35" hidden="false" customHeight="false" outlineLevel="0" collapsed="false"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</row>
    <row r="248" customFormat="false" ht="17.35" hidden="false" customHeight="false" outlineLevel="0" collapsed="false"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</row>
    <row r="249" customFormat="false" ht="17.35" hidden="false" customHeight="false" outlineLevel="0" collapsed="false"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</row>
    <row r="250" customFormat="false" ht="17.35" hidden="false" customHeight="false" outlineLevel="0" collapsed="false"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</row>
    <row r="251" customFormat="false" ht="17.35" hidden="false" customHeight="false" outlineLevel="0" collapsed="false"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</row>
    <row r="252" customFormat="false" ht="17.35" hidden="false" customHeight="false" outlineLevel="0" collapsed="false"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</row>
    <row r="253" customFormat="false" ht="17.35" hidden="false" customHeight="false" outlineLevel="0" collapsed="false"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</row>
    <row r="254" customFormat="false" ht="17.35" hidden="false" customHeight="false" outlineLevel="0" collapsed="false"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</row>
    <row r="255" customFormat="false" ht="17.35" hidden="false" customHeight="false" outlineLevel="0" collapsed="false"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</row>
    <row r="256" customFormat="false" ht="17.35" hidden="false" customHeight="false" outlineLevel="0" collapsed="false"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</row>
    <row r="257" customFormat="false" ht="17.35" hidden="false" customHeight="false" outlineLevel="0" collapsed="false"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</row>
    <row r="258" customFormat="false" ht="17.35" hidden="false" customHeight="false" outlineLevel="0" collapsed="false"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</row>
    <row r="259" customFormat="false" ht="17.35" hidden="false" customHeight="false" outlineLevel="0" collapsed="false"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</row>
    <row r="260" customFormat="false" ht="17.35" hidden="false" customHeight="false" outlineLevel="0" collapsed="false"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</row>
    <row r="261" customFormat="false" ht="17.35" hidden="false" customHeight="false" outlineLevel="0" collapsed="false"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</row>
    <row r="262" customFormat="false" ht="17.35" hidden="false" customHeight="false" outlineLevel="0" collapsed="false"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</row>
    <row r="263" customFormat="false" ht="17.35" hidden="false" customHeight="false" outlineLevel="0" collapsed="false"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</row>
    <row r="264" customFormat="false" ht="17.35" hidden="false" customHeight="false" outlineLevel="0" collapsed="false"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</row>
    <row r="265" customFormat="false" ht="17.35" hidden="false" customHeight="false" outlineLevel="0" collapsed="false"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</row>
    <row r="266" customFormat="false" ht="17.35" hidden="false" customHeight="false" outlineLevel="0" collapsed="false"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</row>
    <row r="267" customFormat="false" ht="17.35" hidden="false" customHeight="false" outlineLevel="0" collapsed="false"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</row>
    <row r="268" customFormat="false" ht="17.35" hidden="false" customHeight="false" outlineLevel="0" collapsed="false"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</row>
    <row r="269" customFormat="false" ht="17.35" hidden="false" customHeight="false" outlineLevel="0" collapsed="false"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</row>
    <row r="270" customFormat="false" ht="17.35" hidden="false" customHeight="false" outlineLevel="0" collapsed="false"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</row>
    <row r="271" customFormat="false" ht="17.35" hidden="false" customHeight="false" outlineLevel="0" collapsed="false"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</row>
    <row r="272" customFormat="false" ht="17.35" hidden="false" customHeight="false" outlineLevel="0" collapsed="false"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</row>
    <row r="273" customFormat="false" ht="17.35" hidden="false" customHeight="false" outlineLevel="0" collapsed="false"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</row>
    <row r="274" customFormat="false" ht="17.35" hidden="false" customHeight="false" outlineLevel="0" collapsed="false"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</row>
    <row r="275" customFormat="false" ht="17.35" hidden="false" customHeight="false" outlineLevel="0" collapsed="false"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</row>
    <row r="276" customFormat="false" ht="17.35" hidden="false" customHeight="false" outlineLevel="0" collapsed="false"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</row>
    <row r="277" customFormat="false" ht="17.35" hidden="false" customHeight="false" outlineLevel="0" collapsed="false"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</row>
    <row r="278" customFormat="false" ht="17.35" hidden="false" customHeight="false" outlineLevel="0" collapsed="false"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</row>
    <row r="279" customFormat="false" ht="17.35" hidden="false" customHeight="false" outlineLevel="0" collapsed="false"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</row>
    <row r="280" customFormat="false" ht="17.35" hidden="false" customHeight="false" outlineLevel="0" collapsed="false"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</row>
    <row r="281" customFormat="false" ht="17.35" hidden="false" customHeight="false" outlineLevel="0" collapsed="false"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</row>
    <row r="282" customFormat="false" ht="17.35" hidden="false" customHeight="false" outlineLevel="0" collapsed="false"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</row>
    <row r="283" customFormat="false" ht="17.35" hidden="false" customHeight="false" outlineLevel="0" collapsed="false"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</row>
    <row r="284" customFormat="false" ht="17.35" hidden="false" customHeight="false" outlineLevel="0" collapsed="false"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</row>
    <row r="285" customFormat="false" ht="17.35" hidden="false" customHeight="false" outlineLevel="0" collapsed="false"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</row>
    <row r="286" customFormat="false" ht="17.35" hidden="false" customHeight="false" outlineLevel="0" collapsed="false"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</row>
    <row r="287" customFormat="false" ht="17.35" hidden="false" customHeight="false" outlineLevel="0" collapsed="false"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</row>
    <row r="288" customFormat="false" ht="17.35" hidden="false" customHeight="false" outlineLevel="0" collapsed="false"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</row>
    <row r="289" customFormat="false" ht="17.35" hidden="false" customHeight="false" outlineLevel="0" collapsed="false"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</row>
    <row r="290" customFormat="false" ht="17.35" hidden="false" customHeight="false" outlineLevel="0" collapsed="false"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</row>
    <row r="291" customFormat="false" ht="17.35" hidden="false" customHeight="false" outlineLevel="0" collapsed="false"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</row>
    <row r="292" customFormat="false" ht="17.35" hidden="false" customHeight="false" outlineLevel="0" collapsed="false"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</row>
    <row r="293" customFormat="false" ht="17.35" hidden="false" customHeight="false" outlineLevel="0" collapsed="false"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</row>
    <row r="294" customFormat="false" ht="17.35" hidden="false" customHeight="false" outlineLevel="0" collapsed="false"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</row>
    <row r="295" customFormat="false" ht="17.35" hidden="false" customHeight="false" outlineLevel="0" collapsed="false"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</row>
    <row r="296" customFormat="false" ht="17.35" hidden="false" customHeight="false" outlineLevel="0" collapsed="false"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</row>
    <row r="297" customFormat="false" ht="17.35" hidden="false" customHeight="false" outlineLevel="0" collapsed="false"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</row>
    <row r="298" customFormat="false" ht="17.35" hidden="false" customHeight="false" outlineLevel="0" collapsed="false"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</row>
    <row r="299" customFormat="false" ht="17.35" hidden="false" customHeight="false" outlineLevel="0" collapsed="false"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</row>
    <row r="300" customFormat="false" ht="17.35" hidden="false" customHeight="false" outlineLevel="0" collapsed="false"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</row>
    <row r="301" customFormat="false" ht="17.35" hidden="false" customHeight="false" outlineLevel="0" collapsed="false"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</row>
    <row r="302" customFormat="false" ht="17.35" hidden="false" customHeight="false" outlineLevel="0" collapsed="false"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</row>
    <row r="303" customFormat="false" ht="17.35" hidden="false" customHeight="false" outlineLevel="0" collapsed="false"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</row>
    <row r="304" customFormat="false" ht="17.35" hidden="false" customHeight="false" outlineLevel="0" collapsed="false"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</row>
    <row r="305" customFormat="false" ht="17.35" hidden="false" customHeight="false" outlineLevel="0" collapsed="false"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</row>
    <row r="306" customFormat="false" ht="17.35" hidden="false" customHeight="false" outlineLevel="0" collapsed="false"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</row>
    <row r="307" customFormat="false" ht="17.35" hidden="false" customHeight="false" outlineLevel="0" collapsed="false"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</row>
    <row r="308" customFormat="false" ht="17.35" hidden="false" customHeight="false" outlineLevel="0" collapsed="false"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</row>
    <row r="309" customFormat="false" ht="17.35" hidden="false" customHeight="false" outlineLevel="0" collapsed="false"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</row>
    <row r="310" customFormat="false" ht="17.35" hidden="false" customHeight="false" outlineLevel="0" collapsed="false"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</row>
    <row r="311" customFormat="false" ht="17.35" hidden="false" customHeight="false" outlineLevel="0" collapsed="false"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</row>
    <row r="312" customFormat="false" ht="17.35" hidden="false" customHeight="false" outlineLevel="0" collapsed="false"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</row>
    <row r="313" customFormat="false" ht="17.35" hidden="false" customHeight="false" outlineLevel="0" collapsed="false"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</row>
    <row r="314" customFormat="false" ht="17.35" hidden="false" customHeight="false" outlineLevel="0" collapsed="false"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</row>
    <row r="315" customFormat="false" ht="17.35" hidden="false" customHeight="false" outlineLevel="0" collapsed="false"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</row>
    <row r="316" customFormat="false" ht="17.35" hidden="false" customHeight="false" outlineLevel="0" collapsed="false"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</row>
    <row r="317" customFormat="false" ht="17.35" hidden="false" customHeight="false" outlineLevel="0" collapsed="false"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</row>
    <row r="318" customFormat="false" ht="17.35" hidden="false" customHeight="false" outlineLevel="0" collapsed="false"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</row>
    <row r="319" customFormat="false" ht="17.35" hidden="false" customHeight="false" outlineLevel="0" collapsed="false"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</row>
    <row r="320" customFormat="false" ht="17.35" hidden="false" customHeight="false" outlineLevel="0" collapsed="false"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</row>
    <row r="321" customFormat="false" ht="17.35" hidden="false" customHeight="false" outlineLevel="0" collapsed="false"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</row>
    <row r="322" customFormat="false" ht="17.35" hidden="false" customHeight="false" outlineLevel="0" collapsed="false"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</row>
    <row r="323" customFormat="false" ht="17.35" hidden="false" customHeight="false" outlineLevel="0" collapsed="false"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</row>
    <row r="324" customFormat="false" ht="17.35" hidden="false" customHeight="false" outlineLevel="0" collapsed="false"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</row>
    <row r="325" customFormat="false" ht="17.35" hidden="false" customHeight="false" outlineLevel="0" collapsed="false"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</row>
    <row r="326" customFormat="false" ht="17.35" hidden="false" customHeight="false" outlineLevel="0" collapsed="false"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</row>
    <row r="327" customFormat="false" ht="17.35" hidden="false" customHeight="false" outlineLevel="0" collapsed="false"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</row>
    <row r="328" customFormat="false" ht="17.35" hidden="false" customHeight="false" outlineLevel="0" collapsed="false"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</row>
    <row r="329" customFormat="false" ht="17.35" hidden="false" customHeight="false" outlineLevel="0" collapsed="false"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</row>
    <row r="330" customFormat="false" ht="17.35" hidden="false" customHeight="false" outlineLevel="0" collapsed="false"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</row>
    <row r="331" customFormat="false" ht="17.35" hidden="false" customHeight="false" outlineLevel="0" collapsed="false"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</row>
    <row r="332" customFormat="false" ht="17.35" hidden="false" customHeight="false" outlineLevel="0" collapsed="false"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</row>
    <row r="333" customFormat="false" ht="17.35" hidden="false" customHeight="false" outlineLevel="0" collapsed="false"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</row>
    <row r="334" customFormat="false" ht="17.35" hidden="false" customHeight="false" outlineLevel="0" collapsed="false"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</row>
    <row r="335" customFormat="false" ht="17.35" hidden="false" customHeight="false" outlineLevel="0" collapsed="false"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</row>
    <row r="336" customFormat="false" ht="17.35" hidden="false" customHeight="false" outlineLevel="0" collapsed="false"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</row>
    <row r="337" customFormat="false" ht="17.35" hidden="false" customHeight="false" outlineLevel="0" collapsed="false"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</row>
    <row r="338" customFormat="false" ht="17.35" hidden="false" customHeight="false" outlineLevel="0" collapsed="false"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</row>
    <row r="339" customFormat="false" ht="17.35" hidden="false" customHeight="false" outlineLevel="0" collapsed="false"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</row>
    <row r="340" customFormat="false" ht="17.35" hidden="false" customHeight="false" outlineLevel="0" collapsed="false"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</row>
    <row r="341" customFormat="false" ht="17.35" hidden="false" customHeight="false" outlineLevel="0" collapsed="false"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</row>
    <row r="342" customFormat="false" ht="17.35" hidden="false" customHeight="false" outlineLevel="0" collapsed="false"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</row>
    <row r="343" customFormat="false" ht="17.35" hidden="false" customHeight="false" outlineLevel="0" collapsed="false"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</row>
    <row r="344" customFormat="false" ht="17.35" hidden="false" customHeight="false" outlineLevel="0" collapsed="false"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</row>
    <row r="345" customFormat="false" ht="17.35" hidden="false" customHeight="false" outlineLevel="0" collapsed="false"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</row>
    <row r="346" customFormat="false" ht="17.35" hidden="false" customHeight="false" outlineLevel="0" collapsed="false"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</row>
    <row r="347" customFormat="false" ht="17.35" hidden="false" customHeight="false" outlineLevel="0" collapsed="false"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</row>
    <row r="348" customFormat="false" ht="17.35" hidden="false" customHeight="false" outlineLevel="0" collapsed="false"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</row>
    <row r="349" customFormat="false" ht="17.35" hidden="false" customHeight="false" outlineLevel="0" collapsed="false"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</row>
    <row r="350" customFormat="false" ht="17.35" hidden="false" customHeight="false" outlineLevel="0" collapsed="false"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</row>
    <row r="351" customFormat="false" ht="17.35" hidden="false" customHeight="false" outlineLevel="0" collapsed="false"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</row>
    <row r="352" customFormat="false" ht="17.35" hidden="false" customHeight="false" outlineLevel="0" collapsed="false"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</row>
    <row r="353" customFormat="false" ht="17.35" hidden="false" customHeight="false" outlineLevel="0" collapsed="false"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</row>
    <row r="354" customFormat="false" ht="17.35" hidden="false" customHeight="false" outlineLevel="0" collapsed="false"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</row>
    <row r="355" customFormat="false" ht="17.35" hidden="false" customHeight="false" outlineLevel="0" collapsed="false"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</row>
    <row r="356" customFormat="false" ht="17.35" hidden="false" customHeight="false" outlineLevel="0" collapsed="false"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</row>
    <row r="357" customFormat="false" ht="17.35" hidden="false" customHeight="false" outlineLevel="0" collapsed="false"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</row>
    <row r="358" customFormat="false" ht="17.35" hidden="false" customHeight="false" outlineLevel="0" collapsed="false"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</row>
    <row r="359" customFormat="false" ht="17.35" hidden="false" customHeight="false" outlineLevel="0" collapsed="false"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</row>
    <row r="360" customFormat="false" ht="17.35" hidden="false" customHeight="false" outlineLevel="0" collapsed="false"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</row>
    <row r="361" customFormat="false" ht="17.35" hidden="false" customHeight="false" outlineLevel="0" collapsed="false"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</row>
    <row r="362" customFormat="false" ht="17.35" hidden="false" customHeight="false" outlineLevel="0" collapsed="false"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</row>
    <row r="363" customFormat="false" ht="17.35" hidden="false" customHeight="false" outlineLevel="0" collapsed="false"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</row>
    <row r="364" customFormat="false" ht="17.35" hidden="false" customHeight="false" outlineLevel="0" collapsed="false"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</row>
    <row r="365" customFormat="false" ht="17.35" hidden="false" customHeight="false" outlineLevel="0" collapsed="false"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</row>
    <row r="366" customFormat="false" ht="17.35" hidden="false" customHeight="false" outlineLevel="0" collapsed="false"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</row>
    <row r="367" customFormat="false" ht="17.35" hidden="false" customHeight="false" outlineLevel="0" collapsed="false"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</row>
    <row r="368" customFormat="false" ht="17.35" hidden="false" customHeight="false" outlineLevel="0" collapsed="false"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</row>
    <row r="369" customFormat="false" ht="17.35" hidden="false" customHeight="false" outlineLevel="0" collapsed="false"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</row>
    <row r="370" customFormat="false" ht="17.35" hidden="false" customHeight="false" outlineLevel="0" collapsed="false"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</row>
    <row r="371" customFormat="false" ht="17.35" hidden="false" customHeight="false" outlineLevel="0" collapsed="false"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</row>
    <row r="372" customFormat="false" ht="17.35" hidden="false" customHeight="false" outlineLevel="0" collapsed="false"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</row>
    <row r="373" customFormat="false" ht="17.35" hidden="false" customHeight="false" outlineLevel="0" collapsed="false"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</row>
    <row r="374" customFormat="false" ht="17.35" hidden="false" customHeight="false" outlineLevel="0" collapsed="false"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</row>
    <row r="375" customFormat="false" ht="17.35" hidden="false" customHeight="false" outlineLevel="0" collapsed="false"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</row>
    <row r="376" customFormat="false" ht="17.35" hidden="false" customHeight="false" outlineLevel="0" collapsed="false"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</row>
    <row r="377" customFormat="false" ht="17.35" hidden="false" customHeight="false" outlineLevel="0" collapsed="false"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</row>
    <row r="378" customFormat="false" ht="17.35" hidden="false" customHeight="false" outlineLevel="0" collapsed="false"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</row>
    <row r="379" customFormat="false" ht="17.35" hidden="false" customHeight="false" outlineLevel="0" collapsed="false"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</row>
    <row r="380" customFormat="false" ht="17.35" hidden="false" customHeight="false" outlineLevel="0" collapsed="false"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</row>
    <row r="381" customFormat="false" ht="17.35" hidden="false" customHeight="false" outlineLevel="0" collapsed="false"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</row>
    <row r="382" customFormat="false" ht="17.35" hidden="false" customHeight="false" outlineLevel="0" collapsed="false"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</row>
    <row r="383" customFormat="false" ht="17.35" hidden="false" customHeight="false" outlineLevel="0" collapsed="false"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</row>
    <row r="384" customFormat="false" ht="17.35" hidden="false" customHeight="false" outlineLevel="0" collapsed="false"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</row>
    <row r="385" customFormat="false" ht="17.35" hidden="false" customHeight="false" outlineLevel="0" collapsed="false"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</row>
    <row r="386" customFormat="false" ht="17.35" hidden="false" customHeight="false" outlineLevel="0" collapsed="false"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</row>
    <row r="387" customFormat="false" ht="17.35" hidden="false" customHeight="false" outlineLevel="0" collapsed="false"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</row>
    <row r="388" customFormat="false" ht="17.35" hidden="false" customHeight="false" outlineLevel="0" collapsed="false"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</row>
    <row r="389" customFormat="false" ht="17.35" hidden="false" customHeight="false" outlineLevel="0" collapsed="false"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</row>
    <row r="390" customFormat="false" ht="17.35" hidden="false" customHeight="false" outlineLevel="0" collapsed="false"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</row>
    <row r="391" customFormat="false" ht="17.35" hidden="false" customHeight="false" outlineLevel="0" collapsed="false"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</row>
    <row r="392" customFormat="false" ht="17.35" hidden="false" customHeight="false" outlineLevel="0" collapsed="false"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</row>
    <row r="393" customFormat="false" ht="17.35" hidden="false" customHeight="false" outlineLevel="0" collapsed="false"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</row>
    <row r="394" customFormat="false" ht="17.35" hidden="false" customHeight="false" outlineLevel="0" collapsed="false"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</row>
    <row r="395" customFormat="false" ht="17.35" hidden="false" customHeight="false" outlineLevel="0" collapsed="false"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</row>
    <row r="396" customFormat="false" ht="17.35" hidden="false" customHeight="false" outlineLevel="0" collapsed="false"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</row>
    <row r="397" customFormat="false" ht="17.35" hidden="false" customHeight="false" outlineLevel="0" collapsed="false"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</row>
    <row r="398" customFormat="false" ht="17.35" hidden="false" customHeight="false" outlineLevel="0" collapsed="false"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</row>
    <row r="399" customFormat="false" ht="17.35" hidden="false" customHeight="false" outlineLevel="0" collapsed="false"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</row>
    <row r="400" customFormat="false" ht="17.35" hidden="false" customHeight="false" outlineLevel="0" collapsed="false"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</row>
    <row r="401" customFormat="false" ht="17.35" hidden="false" customHeight="false" outlineLevel="0" collapsed="false"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</row>
    <row r="402" customFormat="false" ht="17.35" hidden="false" customHeight="false" outlineLevel="0" collapsed="false"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</row>
    <row r="403" customFormat="false" ht="17.35" hidden="false" customHeight="false" outlineLevel="0" collapsed="false"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</row>
    <row r="404" customFormat="false" ht="17.35" hidden="false" customHeight="false" outlineLevel="0" collapsed="false"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</row>
    <row r="405" customFormat="false" ht="17.35" hidden="false" customHeight="false" outlineLevel="0" collapsed="false"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</row>
    <row r="406" customFormat="false" ht="17.35" hidden="false" customHeight="false" outlineLevel="0" collapsed="false"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</row>
    <row r="407" customFormat="false" ht="17.35" hidden="false" customHeight="false" outlineLevel="0" collapsed="false"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</row>
    <row r="408" customFormat="false" ht="17.35" hidden="false" customHeight="false" outlineLevel="0" collapsed="false"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</row>
    <row r="409" customFormat="false" ht="17.35" hidden="false" customHeight="false" outlineLevel="0" collapsed="false"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</row>
    <row r="410" customFormat="false" ht="17.35" hidden="false" customHeight="false" outlineLevel="0" collapsed="false"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</row>
    <row r="411" customFormat="false" ht="17.35" hidden="false" customHeight="false" outlineLevel="0" collapsed="false"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</row>
    <row r="412" customFormat="false" ht="17.35" hidden="false" customHeight="false" outlineLevel="0" collapsed="false"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</row>
    <row r="413" customFormat="false" ht="17.35" hidden="false" customHeight="false" outlineLevel="0" collapsed="false"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</row>
    <row r="414" customFormat="false" ht="17.35" hidden="false" customHeight="false" outlineLevel="0" collapsed="false"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</row>
    <row r="415" customFormat="false" ht="17.35" hidden="false" customHeight="false" outlineLevel="0" collapsed="false"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</row>
    <row r="416" customFormat="false" ht="17.35" hidden="false" customHeight="false" outlineLevel="0" collapsed="false"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</row>
    <row r="417" customFormat="false" ht="17.35" hidden="false" customHeight="false" outlineLevel="0" collapsed="false"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</row>
    <row r="418" customFormat="false" ht="17.35" hidden="false" customHeight="false" outlineLevel="0" collapsed="false"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</row>
    <row r="419" customFormat="false" ht="17.35" hidden="false" customHeight="false" outlineLevel="0" collapsed="false"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</row>
    <row r="420" customFormat="false" ht="17.35" hidden="false" customHeight="false" outlineLevel="0" collapsed="false"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</row>
    <row r="421" customFormat="false" ht="17.35" hidden="false" customHeight="false" outlineLevel="0" collapsed="false"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</row>
    <row r="422" customFormat="false" ht="17.35" hidden="false" customHeight="false" outlineLevel="0" collapsed="false"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</row>
    <row r="423" customFormat="false" ht="17.35" hidden="false" customHeight="false" outlineLevel="0" collapsed="false"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</row>
    <row r="424" customFormat="false" ht="17.35" hidden="false" customHeight="false" outlineLevel="0" collapsed="false"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</row>
    <row r="425" customFormat="false" ht="17.35" hidden="false" customHeight="false" outlineLevel="0" collapsed="false"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</row>
    <row r="426" customFormat="false" ht="17.35" hidden="false" customHeight="false" outlineLevel="0" collapsed="false"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</row>
    <row r="427" customFormat="false" ht="17.35" hidden="false" customHeight="false" outlineLevel="0" collapsed="false"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</row>
    <row r="428" customFormat="false" ht="17.35" hidden="false" customHeight="false" outlineLevel="0" collapsed="false"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</row>
    <row r="429" customFormat="false" ht="17.35" hidden="false" customHeight="false" outlineLevel="0" collapsed="false"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</row>
    <row r="430" customFormat="false" ht="17.35" hidden="false" customHeight="false" outlineLevel="0" collapsed="false"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</row>
    <row r="431" customFormat="false" ht="17.35" hidden="false" customHeight="false" outlineLevel="0" collapsed="false"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</row>
    <row r="432" customFormat="false" ht="17.35" hidden="false" customHeight="false" outlineLevel="0" collapsed="false"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</row>
    <row r="433" customFormat="false" ht="17.35" hidden="false" customHeight="false" outlineLevel="0" collapsed="false"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</row>
    <row r="434" customFormat="false" ht="17.35" hidden="false" customHeight="false" outlineLevel="0" collapsed="false"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</row>
    <row r="435" customFormat="false" ht="17.35" hidden="false" customHeight="false" outlineLevel="0" collapsed="false"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</row>
    <row r="436" customFormat="false" ht="17.35" hidden="false" customHeight="false" outlineLevel="0" collapsed="false"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</row>
    <row r="437" customFormat="false" ht="17.35" hidden="false" customHeight="false" outlineLevel="0" collapsed="false"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</row>
    <row r="438" customFormat="false" ht="17.35" hidden="false" customHeight="false" outlineLevel="0" collapsed="false"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</row>
    <row r="439" customFormat="false" ht="17.35" hidden="false" customHeight="false" outlineLevel="0" collapsed="false"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</row>
    <row r="440" customFormat="false" ht="17.35" hidden="false" customHeight="false" outlineLevel="0" collapsed="false"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</row>
    <row r="441" customFormat="false" ht="17.35" hidden="false" customHeight="false" outlineLevel="0" collapsed="false"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</row>
    <row r="442" customFormat="false" ht="17.35" hidden="false" customHeight="false" outlineLevel="0" collapsed="false"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</row>
    <row r="443" customFormat="false" ht="17.35" hidden="false" customHeight="false" outlineLevel="0" collapsed="false"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</row>
    <row r="444" customFormat="false" ht="17.35" hidden="false" customHeight="false" outlineLevel="0" collapsed="false"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</row>
    <row r="445" customFormat="false" ht="17.35" hidden="false" customHeight="false" outlineLevel="0" collapsed="false"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</row>
    <row r="446" customFormat="false" ht="17.35" hidden="false" customHeight="false" outlineLevel="0" collapsed="false"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</row>
    <row r="447" customFormat="false" ht="17.35" hidden="false" customHeight="false" outlineLevel="0" collapsed="false"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</row>
    <row r="448" customFormat="false" ht="17.35" hidden="false" customHeight="false" outlineLevel="0" collapsed="false"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</row>
    <row r="449" customFormat="false" ht="17.35" hidden="false" customHeight="false" outlineLevel="0" collapsed="false"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</row>
    <row r="450" customFormat="false" ht="17.35" hidden="false" customHeight="false" outlineLevel="0" collapsed="false"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</row>
    <row r="451" customFormat="false" ht="17.35" hidden="false" customHeight="false" outlineLevel="0" collapsed="false"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</row>
    <row r="452" customFormat="false" ht="17.35" hidden="false" customHeight="false" outlineLevel="0" collapsed="false"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</row>
    <row r="453" customFormat="false" ht="17.35" hidden="false" customHeight="false" outlineLevel="0" collapsed="false"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</row>
    <row r="454" customFormat="false" ht="17.35" hidden="false" customHeight="false" outlineLevel="0" collapsed="false">
      <c r="A454" s="142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</row>
    <row r="455" customFormat="false" ht="17.35" hidden="false" customHeight="false" outlineLevel="0" collapsed="false">
      <c r="A455" s="142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</row>
    <row r="456" customFormat="false" ht="17.35" hidden="false" customHeight="false" outlineLevel="0" collapsed="false">
      <c r="A456" s="142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</row>
    <row r="457" customFormat="false" ht="17.35" hidden="false" customHeight="false" outlineLevel="0" collapsed="false">
      <c r="A457" s="142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</row>
    <row r="458" customFormat="false" ht="17.35" hidden="false" customHeight="false" outlineLevel="0" collapsed="false">
      <c r="A458" s="142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</row>
    <row r="459" customFormat="false" ht="17.35" hidden="false" customHeight="false" outlineLevel="0" collapsed="false">
      <c r="A459" s="142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</row>
    <row r="460" customFormat="false" ht="17.35" hidden="false" customHeight="false" outlineLevel="0" collapsed="false">
      <c r="A460" s="142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</row>
    <row r="461" customFormat="false" ht="17.35" hidden="false" customHeight="false" outlineLevel="0" collapsed="false">
      <c r="A461" s="142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</row>
    <row r="462" customFormat="false" ht="17.35" hidden="false" customHeight="false" outlineLevel="0" collapsed="false">
      <c r="A462" s="142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</row>
    <row r="463" customFormat="false" ht="17.35" hidden="false" customHeight="false" outlineLevel="0" collapsed="false">
      <c r="A463" s="142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</row>
    <row r="464" customFormat="false" ht="17.35" hidden="false" customHeight="false" outlineLevel="0" collapsed="false">
      <c r="A464" s="142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</row>
    <row r="465" customFormat="false" ht="17.35" hidden="false" customHeight="false" outlineLevel="0" collapsed="false">
      <c r="A465" s="142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</row>
    <row r="466" customFormat="false" ht="17.35" hidden="false" customHeight="false" outlineLevel="0" collapsed="false">
      <c r="A466" s="142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</row>
    <row r="467" customFormat="false" ht="17.35" hidden="false" customHeight="false" outlineLevel="0" collapsed="false">
      <c r="A467" s="142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</row>
    <row r="468" customFormat="false" ht="17.35" hidden="false" customHeight="false" outlineLevel="0" collapsed="false">
      <c r="A468" s="142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</row>
    <row r="469" customFormat="false" ht="17.35" hidden="false" customHeight="false" outlineLevel="0" collapsed="false">
      <c r="A469" s="142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</row>
    <row r="470" customFormat="false" ht="17.35" hidden="false" customHeight="false" outlineLevel="0" collapsed="false">
      <c r="A470" s="142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</row>
    <row r="471" customFormat="false" ht="17.35" hidden="false" customHeight="false" outlineLevel="0" collapsed="false">
      <c r="A471" s="142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</row>
    <row r="472" customFormat="false" ht="17.35" hidden="false" customHeight="false" outlineLevel="0" collapsed="false">
      <c r="A472" s="142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</row>
    <row r="473" customFormat="false" ht="19.7" hidden="false" customHeight="false" outlineLevel="0" collapsed="false">
      <c r="A473" s="142"/>
    </row>
    <row r="474" customFormat="false" ht="19.7" hidden="false" customHeight="false" outlineLevel="0" collapsed="false">
      <c r="A474" s="142"/>
    </row>
    <row r="475" customFormat="false" ht="19.7" hidden="false" customHeight="false" outlineLevel="0" collapsed="false">
      <c r="A475" s="142"/>
    </row>
    <row r="476" customFormat="false" ht="19.7" hidden="false" customHeight="false" outlineLevel="0" collapsed="false">
      <c r="A476" s="142"/>
    </row>
    <row r="477" customFormat="false" ht="19.7" hidden="false" customHeight="false" outlineLevel="0" collapsed="false">
      <c r="A477" s="142"/>
    </row>
    <row r="478" customFormat="false" ht="19.7" hidden="false" customHeight="false" outlineLevel="0" collapsed="false">
      <c r="A478" s="142"/>
    </row>
    <row r="479" customFormat="false" ht="19.7" hidden="false" customHeight="false" outlineLevel="0" collapsed="false">
      <c r="A479" s="142"/>
    </row>
    <row r="480" customFormat="false" ht="19.7" hidden="false" customHeight="false" outlineLevel="0" collapsed="false">
      <c r="A480" s="142"/>
    </row>
    <row r="481" customFormat="false" ht="19.7" hidden="false" customHeight="false" outlineLevel="0" collapsed="false">
      <c r="A481" s="142"/>
    </row>
    <row r="482" customFormat="false" ht="19.7" hidden="false" customHeight="false" outlineLevel="0" collapsed="false">
      <c r="A482" s="142"/>
    </row>
    <row r="483" customFormat="false" ht="19.7" hidden="false" customHeight="false" outlineLevel="0" collapsed="false">
      <c r="A483" s="142"/>
    </row>
  </sheetData>
  <mergeCells count="15">
    <mergeCell ref="D3:K3"/>
    <mergeCell ref="D5:K5"/>
    <mergeCell ref="L5:R5"/>
    <mergeCell ref="F6:G6"/>
    <mergeCell ref="D7:E8"/>
    <mergeCell ref="H7:H8"/>
    <mergeCell ref="D10:G10"/>
    <mergeCell ref="H10:I10"/>
    <mergeCell ref="J10:K10"/>
    <mergeCell ref="L10:R10"/>
    <mergeCell ref="B13:C13"/>
    <mergeCell ref="B17:C17"/>
    <mergeCell ref="B21:C21"/>
    <mergeCell ref="B25:C25"/>
    <mergeCell ref="B29:C29"/>
  </mergeCells>
  <conditionalFormatting sqref="B15">
    <cfRule type="expression" priority="2" aboveAverage="0" equalAverage="0" bottom="0" percent="0" rank="0" text="" dxfId="0">
      <formula>B14&gt;0</formula>
    </cfRule>
    <cfRule type="expression" priority="3" aboveAverage="0" equalAverage="0" bottom="0" percent="0" rank="0" text="" dxfId="1">
      <formula>B14=0</formula>
    </cfRule>
  </conditionalFormatting>
  <conditionalFormatting sqref="C18">
    <cfRule type="expression" priority="4" aboveAverage="0" equalAverage="0" bottom="0" percent="0" rank="0" text="" dxfId="2">
      <formula>$B$14&lt;&gt;0</formula>
    </cfRule>
    <cfRule type="expression" priority="5" aboveAverage="0" equalAverage="0" bottom="0" percent="0" rank="0" text="" dxfId="3">
      <formula>$C$18&gt;=0</formula>
    </cfRule>
    <cfRule type="expression" priority="6" aboveAverage="0" equalAverage="0" bottom="0" percent="0" rank="0" text="" dxfId="4">
      <formula>$C$14=0</formula>
    </cfRule>
  </conditionalFormatting>
  <conditionalFormatting sqref="C22">
    <cfRule type="expression" priority="7" aboveAverage="0" equalAverage="0" bottom="0" percent="0" rank="0" text="" dxfId="5">
      <formula>$B$14&lt;&gt;0</formula>
    </cfRule>
  </conditionalFormatting>
  <conditionalFormatting sqref="C18:G18 C19:F19 I18:R19">
    <cfRule type="expression" priority="8" aboveAverage="0" equalAverage="0" bottom="0" percent="0" rank="0" text="" dxfId="6">
      <formula>OR($E$18=0,$F$18=0,$G$18=0)</formula>
    </cfRule>
  </conditionalFormatting>
  <conditionalFormatting sqref="C18:G18 C19:F19">
    <cfRule type="expression" priority="9" aboveAverage="0" equalAverage="0" bottom="0" percent="0" rank="0" text="" dxfId="7">
      <formula>$B$18=0</formula>
    </cfRule>
  </conditionalFormatting>
  <conditionalFormatting sqref="C30:G30 I30:R31 D31:G31">
    <cfRule type="expression" priority="10" aboveAverage="0" equalAverage="0" bottom="0" percent="0" rank="0" text="" dxfId="8">
      <formula>$B$30=0</formula>
    </cfRule>
    <cfRule type="expression" priority="11" aboveAverage="0" equalAverage="0" bottom="0" percent="0" rank="0" text="" dxfId="9">
      <formula>OR($E$14=0,$F$14=0,$G$14=0)</formula>
    </cfRule>
  </conditionalFormatting>
  <conditionalFormatting sqref="I27 C27:G27">
    <cfRule type="expression" priority="12" aboveAverage="0" equalAverage="0" bottom="0" percent="0" rank="0" text="" dxfId="10">
      <formula>OR($E$14=0,$F$14=0,$G$14=0)</formula>
    </cfRule>
  </conditionalFormatting>
  <conditionalFormatting sqref="C22:R23">
    <cfRule type="expression" priority="13" aboveAverage="0" equalAverage="0" bottom="0" percent="0" rank="0" text="" dxfId="11">
      <formula>$B$22=0</formula>
    </cfRule>
    <cfRule type="expression" priority="14" aboveAverage="0" equalAverage="0" bottom="0" percent="0" rank="0" text="" dxfId="12">
      <formula>$G$14=0</formula>
    </cfRule>
    <cfRule type="expression" priority="15" aboveAverage="0" equalAverage="0" bottom="0" percent="0" rank="0" text="" dxfId="13">
      <formula>OR($E$14=0,$F$14=0,$G$14=0)</formula>
    </cfRule>
  </conditionalFormatting>
  <conditionalFormatting sqref="C26:R26 C27:G27 I27 K27:R27">
    <cfRule type="expression" priority="16" aboveAverage="0" equalAverage="0" bottom="0" percent="0" rank="0" text="" dxfId="14">
      <formula>$B$26=0</formula>
    </cfRule>
  </conditionalFormatting>
  <conditionalFormatting sqref="C26:R26 K27:R27">
    <cfRule type="expression" priority="17" aboveAverage="0" equalAverage="0" bottom="0" percent="0" rank="0" text="" dxfId="15">
      <formula>OR($E$14=0,$F$14=0,$G$14=0)</formula>
    </cfRule>
  </conditionalFormatting>
  <conditionalFormatting sqref="D15">
    <cfRule type="expression" priority="18" aboveAverage="0" equalAverage="0" bottom="0" percent="0" rank="0" text="" dxfId="16">
      <formula>AND($D$14&lt;=0.004,$D$14&gt;=0)</formula>
    </cfRule>
    <cfRule type="expression" priority="19" aboveAverage="0" equalAverage="0" bottom="0" percent="0" rank="0" text="" dxfId="17">
      <formula>OR($D$14&gt;0.004,$D$14&lt;=0)</formula>
    </cfRule>
  </conditionalFormatting>
  <conditionalFormatting sqref="E15">
    <cfRule type="expression" priority="20" aboveAverage="0" equalAverage="0" bottom="0" percent="0" rank="0" text="" dxfId="18">
      <formula>E14&lt;=0</formula>
    </cfRule>
    <cfRule type="expression" priority="21" aboveAverage="0" equalAverage="0" bottom="0" percent="0" rank="0" text="" dxfId="19">
      <formula>E14&gt;0</formula>
    </cfRule>
  </conditionalFormatting>
  <conditionalFormatting sqref="F15">
    <cfRule type="expression" priority="22" aboveAverage="0" equalAverage="0" bottom="0" percent="0" rank="0" text="" dxfId="20">
      <formula>F14&gt;0</formula>
    </cfRule>
    <cfRule type="expression" priority="23" aboveAverage="0" equalAverage="0" bottom="0" percent="0" rank="0" text="" dxfId="21">
      <formula>F14&lt;=0</formula>
    </cfRule>
  </conditionalFormatting>
  <conditionalFormatting sqref="G15">
    <cfRule type="expression" priority="24" aboveAverage="0" equalAverage="0" bottom="0" percent="0" rank="0" text="" dxfId="22">
      <formula>AND($G$14&lt;=1,$G$14&gt;0)</formula>
    </cfRule>
    <cfRule type="expression" priority="25" aboveAverage="0" equalAverage="0" bottom="0" percent="0" rank="0" text="" dxfId="23">
      <formula>OR($G$14&gt;1,$G$14&lt;=0)</formula>
    </cfRule>
  </conditionalFormatting>
  <conditionalFormatting sqref="G23">
    <cfRule type="expression" priority="26" aboveAverage="0" equalAverage="0" bottom="0" percent="0" rank="0" text="" dxfId="24">
      <formula>AND($G$22&lt;=1,$G$22&gt;0)</formula>
    </cfRule>
    <cfRule type="expression" priority="27" aboveAverage="0" equalAverage="0" bottom="0" percent="0" rank="0" text="" dxfId="25">
      <formula>OR($G$23&gt;1,$G$23&lt;=0)</formula>
    </cfRule>
  </conditionalFormatting>
  <conditionalFormatting sqref="G27">
    <cfRule type="expression" priority="28" aboveAverage="0" equalAverage="0" bottom="0" percent="0" rank="0" text="" dxfId="26">
      <formula>OR($G$26&lt;=1,$G$26&gt;0)</formula>
    </cfRule>
  </conditionalFormatting>
  <conditionalFormatting sqref="G31">
    <cfRule type="expression" priority="29" aboveAverage="0" equalAverage="0" bottom="0" percent="0" rank="0" text="" dxfId="27">
      <formula>AND($G$30&lt;=1,$G$30&gt;0)</formula>
    </cfRule>
    <cfRule type="expression" priority="30" aboveAverage="0" equalAverage="0" bottom="0" percent="0" rank="0" text="" dxfId="28">
      <formula>OR($G$30&gt;1,$G$30&lt;=0)</formula>
    </cfRule>
  </conditionalFormatting>
  <conditionalFormatting sqref="H15">
    <cfRule type="expression" priority="31" aboveAverage="0" equalAverage="0" bottom="0" percent="0" rank="0" text="" dxfId="29">
      <formula>H14&gt;=0.000016</formula>
    </cfRule>
    <cfRule type="expression" priority="32" aboveAverage="0" equalAverage="0" bottom="0" percent="0" rank="0" text="" dxfId="30">
      <formula>H14&lt;0.000016</formula>
    </cfRule>
  </conditionalFormatting>
  <conditionalFormatting sqref="H18:H19">
    <cfRule type="expression" priority="33" aboveAverage="0" equalAverage="0" bottom="0" percent="0" rank="0" text="" dxfId="31">
      <formula>$G$14=0</formula>
    </cfRule>
    <cfRule type="expression" priority="34" aboveAverage="0" equalAverage="0" bottom="0" percent="0" rank="0" text="" dxfId="32">
      <formula>OR($E$14=0,$F$14=0,$G$14=0)</formula>
    </cfRule>
  </conditionalFormatting>
  <conditionalFormatting sqref="H19">
    <cfRule type="expression" priority="35" aboveAverage="0" equalAverage="0" bottom="0" percent="0" rank="0" text="" dxfId="33">
      <formula>$H$18=0</formula>
    </cfRule>
    <cfRule type="expression" priority="36" aboveAverage="0" equalAverage="0" bottom="0" percent="0" rank="0" text="" dxfId="34">
      <formula>H18&gt;=0.000016</formula>
    </cfRule>
    <cfRule type="expression" priority="37" aboveAverage="0" equalAverage="0" bottom="0" percent="0" rank="0" text="" dxfId="35">
      <formula>H18&lt;0.000016</formula>
    </cfRule>
  </conditionalFormatting>
  <conditionalFormatting sqref="H23">
    <cfRule type="expression" priority="38" aboveAverage="0" equalAverage="0" bottom="0" percent="0" rank="0" text="" dxfId="36">
      <formula>H22&gt;=0.000016</formula>
    </cfRule>
    <cfRule type="expression" priority="39" aboveAverage="0" equalAverage="0" bottom="0" percent="0" rank="0" text="" dxfId="37">
      <formula>H22&lt;0.000016</formula>
    </cfRule>
  </conditionalFormatting>
  <conditionalFormatting sqref="H26">
    <cfRule type="expression" priority="40" aboveAverage="0" equalAverage="0" bottom="0" percent="0" rank="0" text="" dxfId="38">
      <formula>-$B$26&lt;&gt;0</formula>
    </cfRule>
  </conditionalFormatting>
  <conditionalFormatting sqref="H30">
    <cfRule type="expression" priority="41" aboveAverage="0" equalAverage="0" bottom="0" percent="0" rank="0" text="" dxfId="39">
      <formula>$B$30=0</formula>
    </cfRule>
    <cfRule type="expression" priority="42" aboveAverage="0" equalAverage="0" bottom="0" percent="0" rank="0" text="" dxfId="40">
      <formula>-$B$30&lt;&gt;0</formula>
    </cfRule>
  </conditionalFormatting>
  <conditionalFormatting sqref="H30">
    <cfRule type="expression" priority="43" aboveAverage="0" equalAverage="0" bottom="0" percent="0" rank="0" text="" dxfId="41">
      <formula>OR($E$14=0,$F$14=0,$G$14=0)</formula>
    </cfRule>
  </conditionalFormatting>
  <conditionalFormatting sqref="H14:R15">
    <cfRule type="expression" priority="44" aboveAverage="0" equalAverage="0" bottom="0" percent="0" rank="0" text="" dxfId="42">
      <formula>OR($E$14=0,$F$14=0,$G$14=0)</formula>
    </cfRule>
    <cfRule type="expression" priority="45" aboveAverage="0" equalAverage="0" bottom="0" percent="0" rank="0" text="" dxfId="43">
      <formula>$B$14=0</formula>
    </cfRule>
    <cfRule type="expression" priority="46" aboveAverage="0" equalAverage="0" bottom="0" percent="0" rank="0" text="" dxfId="44">
      <formula>OR($E$14=0,$F$14=0,$G$14=0)</formula>
    </cfRule>
  </conditionalFormatting>
  <conditionalFormatting sqref="H18:R19">
    <cfRule type="expression" priority="47" aboveAverage="0" equalAverage="0" bottom="0" percent="0" rank="0" text="" dxfId="45">
      <formula>$B$18=0</formula>
    </cfRule>
  </conditionalFormatting>
  <conditionalFormatting sqref="I15">
    <cfRule type="expression" priority="48" aboveAverage="0" equalAverage="0" bottom="0" percent="0" rank="0" text="" dxfId="46">
      <formula>H14&lt;=0</formula>
    </cfRule>
  </conditionalFormatting>
  <conditionalFormatting sqref="J15">
    <cfRule type="expression" priority="49" aboveAverage="0" equalAverage="0" bottom="0" percent="0" rank="0" text="" dxfId="47">
      <formula>$J$14=0</formula>
    </cfRule>
    <cfRule type="expression" priority="50" aboveAverage="0" equalAverage="0" bottom="0" percent="0" rank="0" text="" dxfId="48">
      <formula>$J$14&gt;=0.01</formula>
    </cfRule>
    <cfRule type="expression" priority="51" aboveAverage="0" equalAverage="0" bottom="0" percent="0" rank="0" text="" dxfId="49">
      <formula>$J$14&lt;0.01</formula>
    </cfRule>
  </conditionalFormatting>
  <conditionalFormatting sqref="J19">
    <cfRule type="expression" priority="52" aboveAverage="0" equalAverage="0" bottom="0" percent="0" rank="0" text="" dxfId="50">
      <formula>$B$18=0</formula>
    </cfRule>
    <cfRule type="expression" priority="53" aboveAverage="0" equalAverage="0" bottom="0" percent="0" rank="0" text="" dxfId="51">
      <formula>$J$18&gt;=0.01</formula>
    </cfRule>
    <cfRule type="expression" priority="54" aboveAverage="0" equalAverage="0" bottom="0" percent="0" rank="0" text="" dxfId="52">
      <formula>$J$18&lt;0.01</formula>
    </cfRule>
  </conditionalFormatting>
  <conditionalFormatting sqref="J23">
    <cfRule type="expression" priority="55" aboveAverage="0" equalAverage="0" bottom="0" percent="0" rank="0" text="" dxfId="53">
      <formula>$J$22=0</formula>
    </cfRule>
    <cfRule type="expression" priority="56" aboveAverage="0" equalAverage="0" bottom="0" percent="0" rank="0" text="" dxfId="54">
      <formula>J22&lt;0.01</formula>
    </cfRule>
    <cfRule type="expression" priority="57" aboveAverage="0" equalAverage="0" bottom="0" percent="0" rank="0" text="" dxfId="55">
      <formula>$J$22&gt;=0</formula>
    </cfRule>
  </conditionalFormatting>
  <conditionalFormatting sqref="J27">
    <cfRule type="expression" priority="58" aboveAverage="0" equalAverage="0" bottom="0" percent="0" rank="0" text="" dxfId="56">
      <formula>$B$26=0</formula>
    </cfRule>
    <cfRule type="expression" priority="59" aboveAverage="0" equalAverage="0" bottom="0" percent="0" rank="0" text="" dxfId="57">
      <formula>$G$14=0</formula>
    </cfRule>
    <cfRule type="expression" priority="60" aboveAverage="0" equalAverage="0" bottom="0" percent="0" rank="0" text="" dxfId="58">
      <formula>OR($E$14=0,$F$14=0,$G$14=0)</formula>
    </cfRule>
    <cfRule type="expression" priority="61" aboveAverage="0" equalAverage="0" bottom="0" percent="0" rank="0" text="" dxfId="59">
      <formula>$J$26=0</formula>
    </cfRule>
    <cfRule type="expression" priority="62" aboveAverage="0" equalAverage="0" bottom="0" percent="0" rank="0" text="" dxfId="60">
      <formula>J26&lt;0.01</formula>
    </cfRule>
    <cfRule type="expression" priority="63" aboveAverage="0" equalAverage="0" bottom="0" percent="0" rank="0" text="" dxfId="61">
      <formula>$J$22&gt;=0</formula>
    </cfRule>
  </conditionalFormatting>
  <conditionalFormatting sqref="J31">
    <cfRule type="expression" priority="64" aboveAverage="0" equalAverage="0" bottom="0" percent="0" rank="0" text="" dxfId="62">
      <formula>$J$30&lt;0.01</formula>
    </cfRule>
    <cfRule type="expression" priority="65" aboveAverage="0" equalAverage="0" bottom="0" percent="0" rank="0" text="" dxfId="63">
      <formula>$J$30&gt;=0.01</formula>
    </cfRule>
  </conditionalFormatting>
  <printOptions headings="true" gridLines="false" gridLinesSet="true" horizontalCentered="false" verticalCentered="false"/>
  <pageMargins left="0.25" right="0.25" top="0.25" bottom="0.25" header="0.511811023622047" footer="0.25"/>
  <pageSetup paperSize="1" scale="50" fitToWidth="1" fitToHeight="1" pageOrder="overThenDown" orientation="landscape" blackAndWhite="false" draft="false" cellComments="none" horizontalDpi="300" verticalDpi="300" copies="1"/>
  <headerFooter differentFirst="false" differentOddEven="false">
    <oddHeader/>
    <oddFooter>&amp;LPrinted &amp;D &amp;T
Page &amp;P of &amp;N&amp;C&amp;Z&amp;F</oddFooter>
  </headerFooter>
  <colBreaks count="1" manualBreakCount="1">
    <brk id="11" man="true" max="65535" min="0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105</TotalTime>
  <Application>LibreOffice/7.4.1.2$Linux_X86_64 LibreOffice_project/3c58a8f3a960df8bc8fd77b461821e42c061c5f0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2023-03-29T21:34:35Z</dcterms:created>
  <dc:creator>Crypto Wiz Guy</dc:creator>
  <dc:description/>
  <dc:language>en-US</dc:language>
  <cp:lastModifiedBy/>
  <cp:lastPrinted>2023-06-29T17:32:18Z</cp:lastPrinted>
  <dcterms:modified xsi:type="dcterms:W3CDTF">2023-07-14T23:39:35Z</dcterms:modified>
  <cp:revision>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